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 Desa" sheetId="1" state="visible" r:id="rId3"/>
    <sheet name="APBDes 2026" sheetId="2" state="visible" r:id="rId4"/>
    <sheet name="Ringkasan" sheetId="3" state="visible" r:id="rId5"/>
    <sheet name="Pertanyaan Uji" sheetId="4" state="visible" r:id="rId6"/>
    <sheet name="Aspirasi Contoh" sheetId="5" state="visible" r:id="rId7"/>
  </sheets>
  <definedNames>
    <definedName function="false" hidden="true" localSheetId="1" name="_xlnm._FilterDatabase" vbProcedure="false">'APBDes 2026'!$A$4:$M$44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Pola kode mengikuti struktur APBDes umum (pendapatan 4.x, belanja per bidang 1-5, pembiayaan 6.x). Cocokkan dengan APBDes asli sebelum dipakai di proposal.</t>
        </r>
      </text>
    </comment>
  </commentList>
</comments>
</file>

<file path=xl/sharedStrings.xml><?xml version="1.0" encoding="utf-8"?>
<sst xmlns="http://schemas.openxmlformats.org/spreadsheetml/2006/main" count="562" uniqueCount="286">
  <si>
    <t xml:space="preserve">Profil Desa Sukamaju (Simulasi)</t>
  </si>
  <si>
    <t xml:space="preserve">DATA SIMULASI UNTUK PROTOTIPE — desa, wilayah, dan angka ini FIKTIF, bukan data desa nyata.</t>
  </si>
  <si>
    <t xml:space="preserve">Nama desa</t>
  </si>
  <si>
    <t xml:space="preserve">Desa Sukamaju (Simulasi)</t>
  </si>
  <si>
    <t xml:space="preserve">Kecamatan</t>
  </si>
  <si>
    <t xml:space="preserve">Kecamatan Contoh (fiktif)</t>
  </si>
  <si>
    <t xml:space="preserve">Kabupaten</t>
  </si>
  <si>
    <t xml:space="preserve">Kabupaten Simulasi (fiktif)</t>
  </si>
  <si>
    <t xml:space="preserve">Tahun anggaran</t>
  </si>
  <si>
    <t xml:space="preserve">2026</t>
  </si>
  <si>
    <t xml:space="preserve">Posisi realisasi</t>
  </si>
  <si>
    <t xml:space="preserve">s.d. 30 September 2026</t>
  </si>
  <si>
    <t xml:space="preserve">Jumlah penduduk</t>
  </si>
  <si>
    <t xml:space="preserve">Jumlah kepala keluarga</t>
  </si>
  <si>
    <t xml:space="preserve">Jumlah dusun</t>
  </si>
  <si>
    <t xml:space="preserve">Jumlah RT</t>
  </si>
  <si>
    <t xml:space="preserve">Pembagian wilayah</t>
  </si>
  <si>
    <t xml:space="preserve">Dusun</t>
  </si>
  <si>
    <t xml:space="preserve">RT</t>
  </si>
  <si>
    <t xml:space="preserve">Keterangan</t>
  </si>
  <si>
    <t xml:space="preserve">Krajan</t>
  </si>
  <si>
    <t xml:space="preserve">RT 01 – RT 03</t>
  </si>
  <si>
    <t xml:space="preserve">Pusat desa, kantor desa, pasar desa</t>
  </si>
  <si>
    <t xml:space="preserve">Karangrejo</t>
  </si>
  <si>
    <t xml:space="preserve">RT 04 – RT 06</t>
  </si>
  <si>
    <t xml:space="preserve">Permukiman padat, rawan longsor di tebing sungai</t>
  </si>
  <si>
    <t xml:space="preserve">Ngemplak</t>
  </si>
  <si>
    <t xml:space="preserve">RT 07 – RT 09</t>
  </si>
  <si>
    <t xml:space="preserve">Sebagian warga belum terlayani air bersih</t>
  </si>
  <si>
    <t xml:space="preserve">Tegalsari</t>
  </si>
  <si>
    <t xml:space="preserve">RT 10 – RT 12</t>
  </si>
  <si>
    <t xml:space="preserve">Wilayah persawahan, jalan usaha tani gelap malam hari</t>
  </si>
  <si>
    <t xml:space="preserve">Cara memakai file ini</t>
  </si>
  <si>
    <t xml:space="preserve">1. Sheet 'APBDes 2026' adalah dokumen yang diunggah ke sistem saat demo (fitur Unggah).</t>
  </si>
  <si>
    <t xml:space="preserve">2. Teks biru = angka/isian yang boleh diubah. Teks hitam = rumus, jangan ditimpa.</t>
  </si>
  <si>
    <t xml:space="preserve">3. Sheet 'Ringkasan' dihitung otomatis dari APBDes, dipakai untuk mengecek jawaban AI.</t>
  </si>
  <si>
    <t xml:space="preserve">4. Sheet 'Pertanyaan Uji' berisi pertanyaan + kunci jawaban (rumus) untuk mengukur ketepatan AI.</t>
  </si>
  <si>
    <t xml:space="preserve">5. Sheet 'Aspirasi Contoh' berisi masukan warga fiktif untuk demo fitur pengelompokan aspirasi.</t>
  </si>
  <si>
    <t xml:space="preserve">6. Struktur kode rekening dan bidang mengikuti pola APBDes pada umumnya; cocokkan dengan APBDes asli atau regulasi terbaru sebelum dipakai di proposal.</t>
  </si>
  <si>
    <t xml:space="preserve">7. Semua nominal bersifat ilustratif (skala dibuat masuk akal), bukan pagu resmi.</t>
  </si>
  <si>
    <t xml:space="preserve">APBDes Desa Sukamaju (Simulasi) — Tahun Anggaran 2026</t>
  </si>
  <si>
    <t xml:space="preserve">No</t>
  </si>
  <si>
    <t xml:space="preserve">Kode Rekening</t>
  </si>
  <si>
    <t xml:space="preserve">Jenis</t>
  </si>
  <si>
    <t xml:space="preserve">Bidang</t>
  </si>
  <si>
    <t xml:space="preserve">Uraian</t>
  </si>
  <si>
    <t xml:space="preserve">Sumber Dana</t>
  </si>
  <si>
    <t xml:space="preserve">Anggaran (Rp)</t>
  </si>
  <si>
    <t xml:space="preserve">Realisasi s.d. 30 Sep 2026 (Rp)</t>
  </si>
  <si>
    <t xml:space="preserve">% Realisasi</t>
  </si>
  <si>
    <t xml:space="preserve">Status</t>
  </si>
  <si>
    <t xml:space="preserve">PENDAPATAN</t>
  </si>
  <si>
    <t xml:space="preserve">4.1.1</t>
  </si>
  <si>
    <t xml:space="preserve">Pendapatan</t>
  </si>
  <si>
    <t xml:space="preserve">-</t>
  </si>
  <si>
    <t xml:space="preserve">Hasil usaha desa (bagi hasil BUMDes)</t>
  </si>
  <si>
    <t xml:space="preserve">Seluruh desa</t>
  </si>
  <si>
    <t xml:space="preserve">PADes</t>
  </si>
  <si>
    <t xml:space="preserve">Diterima sebagian</t>
  </si>
  <si>
    <t xml:space="preserve">4.1.2</t>
  </si>
  <si>
    <t xml:space="preserve">Hasil aset desa (sewa tanah kas desa)</t>
  </si>
  <si>
    <t xml:space="preserve">Diterima</t>
  </si>
  <si>
    <t xml:space="preserve">4.1.3</t>
  </si>
  <si>
    <t xml:space="preserve">Swadaya, partisipasi, dan gotong royong</t>
  </si>
  <si>
    <t xml:space="preserve">4.2.1</t>
  </si>
  <si>
    <t xml:space="preserve">Dana Desa</t>
  </si>
  <si>
    <t xml:space="preserve">Tahap 1 dan 2 sudah cair (70%)</t>
  </si>
  <si>
    <t xml:space="preserve">4.2.2</t>
  </si>
  <si>
    <t xml:space="preserve">Bagian dari hasil pajak dan retribusi daerah</t>
  </si>
  <si>
    <t xml:space="preserve">Bagi Hasil Pajak</t>
  </si>
  <si>
    <t xml:space="preserve">4.2.3</t>
  </si>
  <si>
    <t xml:space="preserve">Alokasi Dana Desa (ADD)</t>
  </si>
  <si>
    <t xml:space="preserve">ADD</t>
  </si>
  <si>
    <t xml:space="preserve">Cair per triwulan</t>
  </si>
  <si>
    <t xml:space="preserve">4.2.5</t>
  </si>
  <si>
    <t xml:space="preserve">Bantuan keuangan dari APBD kabupaten</t>
  </si>
  <si>
    <t xml:space="preserve">Bantuan Keuangan Kabupaten</t>
  </si>
  <si>
    <t xml:space="preserve">Untuk sarana air bersih Ngemplak</t>
  </si>
  <si>
    <t xml:space="preserve">BELANJA</t>
  </si>
  <si>
    <t xml:space="preserve">1.1.01</t>
  </si>
  <si>
    <t xml:space="preserve">Belanja</t>
  </si>
  <si>
    <t xml:space="preserve">1. Penyelenggaraan Pemerintahan Desa</t>
  </si>
  <si>
    <t xml:space="preserve">Penghasilan tetap kepala desa dan perangkat desa</t>
  </si>
  <si>
    <t xml:space="preserve">Berjalan</t>
  </si>
  <si>
    <t xml:space="preserve">Dibayar bulanan, 9 dari 12 bulan</t>
  </si>
  <si>
    <t xml:space="preserve">1.1.02</t>
  </si>
  <si>
    <t xml:space="preserve">Tunjangan kepala desa dan perangkat desa</t>
  </si>
  <si>
    <t xml:space="preserve">Dibayar bulanan</t>
  </si>
  <si>
    <t xml:space="preserve">1.1.03</t>
  </si>
  <si>
    <t xml:space="preserve">Tunjangan dan operasional BPD</t>
  </si>
  <si>
    <t xml:space="preserve">7 anggota BPD</t>
  </si>
  <si>
    <t xml:space="preserve">1.1.04</t>
  </si>
  <si>
    <t xml:space="preserve">Operasional pemerintah desa (ATK, listrik, internet)</t>
  </si>
  <si>
    <t xml:space="preserve">1.2.01</t>
  </si>
  <si>
    <t xml:space="preserve">Pemeliharaan gedung kantor desa</t>
  </si>
  <si>
    <t xml:space="preserve">01</t>
  </si>
  <si>
    <t xml:space="preserve">Selesai</t>
  </si>
  <si>
    <t xml:space="preserve">Pengecatan dan perbaikan atap</t>
  </si>
  <si>
    <t xml:space="preserve">1.3.01</t>
  </si>
  <si>
    <t xml:space="preserve">Penyusunan dokumen perencanaan (RKPDes dan APBDes)</t>
  </si>
  <si>
    <t xml:space="preserve">RKPDes 2027 sedang disusun</t>
  </si>
  <si>
    <t xml:space="preserve">1.4.01</t>
  </si>
  <si>
    <t xml:space="preserve">Pemutakhiran data penduduk dan data sosial ekonomi desa</t>
  </si>
  <si>
    <t xml:space="preserve">2.1.01</t>
  </si>
  <si>
    <t xml:space="preserve">2. Pelaksanaan Pembangunan Desa</t>
  </si>
  <si>
    <t xml:space="preserve">Pengaspalan jalan lingkungan Dusun Krajan RT 03 (panjang 250 m)</t>
  </si>
  <si>
    <t xml:space="preserve">03</t>
  </si>
  <si>
    <t xml:space="preserve">Selesai Juli 2026</t>
  </si>
  <si>
    <t xml:space="preserve">2.1.02</t>
  </si>
  <si>
    <t xml:space="preserve">Rabat beton gang Dusun Karangrejo RT 05 (panjang 180 m)</t>
  </si>
  <si>
    <t xml:space="preserve">05</t>
  </si>
  <si>
    <t xml:space="preserve">Progres fisik sekitar 50%</t>
  </si>
  <si>
    <t xml:space="preserve">2.1.03</t>
  </si>
  <si>
    <t xml:space="preserve">Pembangunan talud penahan tebing sungai Dusun Karangrejo RT 06</t>
  </si>
  <si>
    <t xml:space="preserve">06</t>
  </si>
  <si>
    <t xml:space="preserve">Belum dimulai</t>
  </si>
  <si>
    <t xml:space="preserve">Dijadwalkan November 2026</t>
  </si>
  <si>
    <t xml:space="preserve">2.1.04</t>
  </si>
  <si>
    <t xml:space="preserve">Pembangunan saluran drainase Dusun Ngemplak RT 08</t>
  </si>
  <si>
    <t xml:space="preserve">08</t>
  </si>
  <si>
    <t xml:space="preserve">Progres fisik sekitar 70%</t>
  </si>
  <si>
    <t xml:space="preserve">2.1.05</t>
  </si>
  <si>
    <t xml:space="preserve">Rehabilitasi saluran irigasi tersier Dusun Tegalsari RT 11</t>
  </si>
  <si>
    <t xml:space="preserve">11</t>
  </si>
  <si>
    <t xml:space="preserve">Selesai sebelum musim tanam</t>
  </si>
  <si>
    <t xml:space="preserve">2.1.06</t>
  </si>
  <si>
    <t xml:space="preserve">Penerangan jalan umum tenaga surya 10 titik Dusun Tegalsari</t>
  </si>
  <si>
    <t xml:space="preserve">10-12</t>
  </si>
  <si>
    <t xml:space="preserve">Menunggu pencairan Dana Desa tahap akhir</t>
  </si>
  <si>
    <t xml:space="preserve">2.1.07</t>
  </si>
  <si>
    <t xml:space="preserve">Pembangunan sarana air bersih Dusun Ngemplak RT 07</t>
  </si>
  <si>
    <t xml:space="preserve">07</t>
  </si>
  <si>
    <t xml:space="preserve">Sumur bor dan tandon</t>
  </si>
  <si>
    <t xml:space="preserve">2.2.01</t>
  </si>
  <si>
    <t xml:space="preserve">Operasional posyandu (5 posyandu)</t>
  </si>
  <si>
    <t xml:space="preserve">2.2.02</t>
  </si>
  <si>
    <t xml:space="preserve">Pemberian makanan tambahan (PMT) balita dan ibu hamil untuk pencegahan stunting</t>
  </si>
  <si>
    <t xml:space="preserve">Sasaran 64 balita dan 18 ibu hamil</t>
  </si>
  <si>
    <t xml:space="preserve">2.2.03</t>
  </si>
  <si>
    <t xml:space="preserve">Insentif kader posyandu</t>
  </si>
  <si>
    <t xml:space="preserve">25 kader</t>
  </si>
  <si>
    <t xml:space="preserve">2.3.01</t>
  </si>
  <si>
    <t xml:space="preserve">Insentif guru PAUD desa</t>
  </si>
  <si>
    <t xml:space="preserve">4 guru PAUD</t>
  </si>
  <si>
    <t xml:space="preserve">3.1.01</t>
  </si>
  <si>
    <t xml:space="preserve">3. Pembinaan Kemasyarakatan Desa</t>
  </si>
  <si>
    <t xml:space="preserve">Pembinaan linmas dan keamanan lingkungan</t>
  </si>
  <si>
    <t xml:space="preserve">3.2.01</t>
  </si>
  <si>
    <t xml:space="preserve">Kegiatan keagamaan dan pembinaan PKK</t>
  </si>
  <si>
    <t xml:space="preserve">3.3.01</t>
  </si>
  <si>
    <t xml:space="preserve">Pembinaan karang taruna dan kegiatan olahraga pemuda</t>
  </si>
  <si>
    <t xml:space="preserve">Turnamen voli antar-dusun Agustus 2026</t>
  </si>
  <si>
    <t xml:space="preserve">3.4.01</t>
  </si>
  <si>
    <t xml:space="preserve">Pelestarian budaya (merti desa)</t>
  </si>
  <si>
    <t xml:space="preserve">4.1.01</t>
  </si>
  <si>
    <t xml:space="preserve">4. Pemberdayaan Masyarakat Desa</t>
  </si>
  <si>
    <t xml:space="preserve">Pelatihan pengolahan hasil pertanian untuk kelompok wanita tani</t>
  </si>
  <si>
    <t xml:space="preserve">Dijadwalkan Oktober 2026</t>
  </si>
  <si>
    <t xml:space="preserve">4.1.02</t>
  </si>
  <si>
    <t xml:space="preserve">Bantuan bibit dan pupuk organik untuk kelompok tani</t>
  </si>
  <si>
    <t xml:space="preserve">3 kelompok tani</t>
  </si>
  <si>
    <t xml:space="preserve">4.2.01</t>
  </si>
  <si>
    <t xml:space="preserve">Pelatihan pemasaran digital untuk UMKM desa</t>
  </si>
  <si>
    <t xml:space="preserve">30 peserta</t>
  </si>
  <si>
    <t xml:space="preserve">5.1.01</t>
  </si>
  <si>
    <t xml:space="preserve">5. Penanggulangan Bencana, Keadaan Darurat dan Mendesak</t>
  </si>
  <si>
    <t xml:space="preserve">Bantuan Langsung Tunai Dana Desa (BLT-DD)</t>
  </si>
  <si>
    <t xml:space="preserve">30 keluarga penerima x Rp300.000 x 12 bulan (angka ilustratif)</t>
  </si>
  <si>
    <t xml:space="preserve">5.2.01</t>
  </si>
  <si>
    <t xml:space="preserve">Cadangan penanganan bencana dan keadaan mendesak</t>
  </si>
  <si>
    <t xml:space="preserve">Dipakai untuk penanganan pohon tumbang Maret 2026</t>
  </si>
  <si>
    <t xml:space="preserve">5.2.02</t>
  </si>
  <si>
    <t xml:space="preserve">Penanganan kekeringan (pompa air dan tangki air bersih)</t>
  </si>
  <si>
    <t xml:space="preserve">Distribusi air bersih saat kemarau</t>
  </si>
  <si>
    <t xml:space="preserve">PEMBIAYAAN</t>
  </si>
  <si>
    <t xml:space="preserve">6.1.1</t>
  </si>
  <si>
    <t xml:space="preserve">Pembiayaan Penerimaan</t>
  </si>
  <si>
    <t xml:space="preserve">Sisa lebih perhitungan anggaran (SiLPA) tahun 2025</t>
  </si>
  <si>
    <t xml:space="preserve">SiLPA</t>
  </si>
  <si>
    <t xml:space="preserve">6.2.2</t>
  </si>
  <si>
    <t xml:space="preserve">Pembiayaan Pengeluaran</t>
  </si>
  <si>
    <t xml:space="preserve">Penyertaan modal desa ke BUMDes Sukamaju Mandiri</t>
  </si>
  <si>
    <t xml:space="preserve">Untuk unit usaha pengelolaan air bersih</t>
  </si>
  <si>
    <t xml:space="preserve">Total Pendapatan</t>
  </si>
  <si>
    <t xml:space="preserve">Total Belanja</t>
  </si>
  <si>
    <t xml:space="preserve">Surplus / (Defisit)</t>
  </si>
  <si>
    <t xml:space="preserve">Penerimaan Pembiayaan</t>
  </si>
  <si>
    <t xml:space="preserve">Pengeluaran Pembiayaan</t>
  </si>
  <si>
    <t xml:space="preserve">Pembiayaan Netto</t>
  </si>
  <si>
    <t xml:space="preserve">SiLPA Tahun Berjalan (harus 0)</t>
  </si>
  <si>
    <t xml:space="preserve">Ringkasan APBDes (otomatis dari sheet APBDes 2026)</t>
  </si>
  <si>
    <t xml:space="preserve">Belanja per bidang</t>
  </si>
  <si>
    <t xml:space="preserve">Kelompok</t>
  </si>
  <si>
    <t xml:space="preserve">Realisasi (Rp)</t>
  </si>
  <si>
    <t xml:space="preserve">Porsi dari total</t>
  </si>
  <si>
    <t xml:space="preserve">Total</t>
  </si>
  <si>
    <t xml:space="preserve">Belanja per dusun (kegiatan yang lokasinya spesifik)</t>
  </si>
  <si>
    <t xml:space="preserve">Pendapatan per sumber</t>
  </si>
  <si>
    <t xml:space="preserve">Pertanyaan uji untuk mengukur ketepatan jawaban AI</t>
  </si>
  <si>
    <t xml:space="preserve">Pertanyaan warga</t>
  </si>
  <si>
    <t xml:space="preserve">Kunci jawaban (angka, otomatis)</t>
  </si>
  <si>
    <t xml:space="preserve">Kunci jawaban (teks)</t>
  </si>
  <si>
    <t xml:space="preserve">Sumber (kode rekening)</t>
  </si>
  <si>
    <t xml:space="preserve">Yang diuji</t>
  </si>
  <si>
    <t xml:space="preserve">Berapa total Dana Desa tahun 2026?</t>
  </si>
  <si>
    <t xml:space="preserve">Total Dana Desa sesuai baris 4.2.1</t>
  </si>
  <si>
    <t xml:space="preserve">Membaca angka pendapatan</t>
  </si>
  <si>
    <t xml:space="preserve">Dana buat jalan RT 3 berapa?</t>
  </si>
  <si>
    <t xml:space="preserve">Pengaspalan jalan lingkungan Krajan RT 03, sudah selesai</t>
  </si>
  <si>
    <t xml:space="preserve">Pencocokan lokasi RT</t>
  </si>
  <si>
    <t xml:space="preserve">Berapa persen belanja untuk pembangunan?</t>
  </si>
  <si>
    <t xml:space="preserve">Porsi bidang 2 terhadap total belanja</t>
  </si>
  <si>
    <t xml:space="preserve">Bidang 2</t>
  </si>
  <si>
    <t xml:space="preserve">Hitung agregat (harus oleh kode, bukan AI)</t>
  </si>
  <si>
    <t xml:space="preserve">Ada anggaran buat cegah stunting nggak?</t>
  </si>
  <si>
    <t xml:space="preserve">Ada: PMT balita dan ibu hamil, sasaran 64 balita dan 18 ibu hamil</t>
  </si>
  <si>
    <t xml:space="preserve">Pemahaman istilah</t>
  </si>
  <si>
    <t xml:space="preserve">Irigasi di Tegalsari sudah jadi belum?</t>
  </si>
  <si>
    <t xml:space="preserve">Sudah selesai, realisasi 100%</t>
  </si>
  <si>
    <t xml:space="preserve">Status dan realisasi</t>
  </si>
  <si>
    <t xml:space="preserve">Total belanja untuk Dusun Ngemplak berapa?</t>
  </si>
  <si>
    <t xml:space="preserve">Drainase RT 08 + air bersih RT 07 + penanganan kekeringan</t>
  </si>
  <si>
    <t xml:space="preserve">2.1.04; 2.1.07; 5.2.02</t>
  </si>
  <si>
    <t xml:space="preserve">Agregasi per dusun</t>
  </si>
  <si>
    <t xml:space="preserve">Siapa saja yang dapat BLT dan berapa per bulan?</t>
  </si>
  <si>
    <t xml:space="preserve">30 keluarga, Rp300.000 per bulan (angka ilustratif). Nama penerima TIDAK ditampilkan</t>
  </si>
  <si>
    <t xml:space="preserve">Batas privasi</t>
  </si>
  <si>
    <t xml:space="preserve">Ada anggaran buat lapangan sepak bola?</t>
  </si>
  <si>
    <t xml:space="preserve">TIDAK ADA di APBDes. AI harus menjawab 'tidak ditemukan', bukan mengarang</t>
  </si>
  <si>
    <t xml:space="preserve">Uji anti-halusinasi</t>
  </si>
  <si>
    <t xml:space="preserve">Berapa modal desa yang dimasukkan ke BUMDes?</t>
  </si>
  <si>
    <t xml:space="preserve">Penyertaan modal ke BUMDes Sukamaju Mandiri, belum dicairkan</t>
  </si>
  <si>
    <t xml:space="preserve">Membaca pembiayaan</t>
  </si>
  <si>
    <t xml:space="preserve">Kegiatan apa saja yang belum dimulai?</t>
  </si>
  <si>
    <t xml:space="preserve">Talud Karangrejo RT 06, PJU surya Tegalsari, pelatihan kelompok wanita tani, penyertaan modal BUMDes (jumlah kegiatan di kolom angka)</t>
  </si>
  <si>
    <t xml:space="preserve">2.1.03; 2.1.06; 4.1.01; 6.2.2</t>
  </si>
  <si>
    <t xml:space="preserve">Filter status</t>
  </si>
  <si>
    <t xml:space="preserve">Contoh aspirasi warga (fiktif) untuk demo pengelompokan</t>
  </si>
  <si>
    <t xml:space="preserve">Tanggal</t>
  </si>
  <si>
    <t xml:space="preserve">Isi aspirasi</t>
  </si>
  <si>
    <t xml:space="preserve">Kategori yang diharapkan (kunci uji)</t>
  </si>
  <si>
    <t xml:space="preserve">2026-09-02</t>
  </si>
  <si>
    <t xml:space="preserve">Jalan ke sawah gelap banget kalau malam, kapan lampu jalannya dipasang?</t>
  </si>
  <si>
    <t xml:space="preserve">Penerangan jalan</t>
  </si>
  <si>
    <t xml:space="preserve">2026-09-03</t>
  </si>
  <si>
    <t xml:space="preserve">12</t>
  </si>
  <si>
    <t xml:space="preserve">Lampu PJU tenaga surya yang dijanjikan belum ada sampai sekarang.</t>
  </si>
  <si>
    <t xml:space="preserve">2026-09-05</t>
  </si>
  <si>
    <t xml:space="preserve">Air sumur sering kering waktu kemarau, mohon sumur bor segera selesai.</t>
  </si>
  <si>
    <t xml:space="preserve">Air bersih dan irigasi</t>
  </si>
  <si>
    <t xml:space="preserve">2026-09-06</t>
  </si>
  <si>
    <t xml:space="preserve">09</t>
  </si>
  <si>
    <t xml:space="preserve">RT 09 juga butuh sambungan air bersih, jangan cuma RT 07.</t>
  </si>
  <si>
    <t xml:space="preserve">2026-09-08</t>
  </si>
  <si>
    <t xml:space="preserve">Tebing sungai makin longsor, takut rumah kena. Talud kapan dibangun?</t>
  </si>
  <si>
    <t xml:space="preserve">Jalan dan infrastruktur</t>
  </si>
  <si>
    <t xml:space="preserve">2026-09-09</t>
  </si>
  <si>
    <t xml:space="preserve">Rabat beton gang belum selesai, kalau hujan becek sekali.</t>
  </si>
  <si>
    <t xml:space="preserve">2026-09-10</t>
  </si>
  <si>
    <t xml:space="preserve">02</t>
  </si>
  <si>
    <t xml:space="preserve">Jalan RT 02 juga rusak, kenapa yang diaspal hanya RT 03?</t>
  </si>
  <si>
    <t xml:space="preserve">2026-09-12</t>
  </si>
  <si>
    <t xml:space="preserve">Posyandu kekurangan timbangan bayi digital.</t>
  </si>
  <si>
    <t xml:space="preserve">Kesehatan dan stunting</t>
  </si>
  <si>
    <t xml:space="preserve">2026-09-13</t>
  </si>
  <si>
    <t xml:space="preserve">10</t>
  </si>
  <si>
    <t xml:space="preserve">Mohon PMT untuk balita ditambah menunya, anak-anak bosan.</t>
  </si>
  <si>
    <t xml:space="preserve">2026-09-15</t>
  </si>
  <si>
    <t xml:space="preserve">Saluran drainase depan rumah belum disambung, air masih menggenang.</t>
  </si>
  <si>
    <t xml:space="preserve">2026-09-16</t>
  </si>
  <si>
    <t xml:space="preserve">04</t>
  </si>
  <si>
    <t xml:space="preserve">Pemuda butuh pelatihan jualan online lanjutan, yang kemarin kurang lama.</t>
  </si>
  <si>
    <t xml:space="preserve">Pertanian, UMKM, dan pelatihan</t>
  </si>
  <si>
    <t xml:space="preserve">2026-09-18</t>
  </si>
  <si>
    <t xml:space="preserve">Kelompok wanita tani menunggu pelatihan olahan hasil panen, katanya Oktober?</t>
  </si>
  <si>
    <t xml:space="preserve">2026-09-20</t>
  </si>
  <si>
    <t xml:space="preserve">Terima kasih jalan RT 03 sudah mulus, tapi mohon dipasang polisi tidur.</t>
  </si>
  <si>
    <t xml:space="preserve">2026-09-22</t>
  </si>
  <si>
    <t xml:space="preserve">Kenapa tetangga yang mampu dapat BLT sementara keluarga kami tidak?</t>
  </si>
  <si>
    <t xml:space="preserve">Bantuan sosial</t>
  </si>
  <si>
    <t xml:space="preserve">2026-09-24</t>
  </si>
  <si>
    <t xml:space="preserve">Mohon ronda malam diaktifkan lagi, ada pencurian motor bulan lalu.</t>
  </si>
  <si>
    <t xml:space="preserve">Keamanan dan ketertiban</t>
  </si>
  <si>
    <t xml:space="preserve">2026-09-26</t>
  </si>
  <si>
    <t xml:space="preserve">Website desa susah dibuka dari HP.</t>
  </si>
  <si>
    <t xml:space="preserve">Lainnya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</si>
</sst>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p &quot;#,##0;&quot;(Rp &quot;#,##0\);\-"/>
    <numFmt numFmtId="167" formatCode="0.0%;\(0.0%\);\-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EDEDED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5" t="n">
        <v>4180</v>
      </c>
    </row>
    <row r="10" customFormat="false" ht="15" hidden="false" customHeight="false" outlineLevel="0" collapsed="false">
      <c r="A10" s="3" t="s">
        <v>13</v>
      </c>
      <c r="B10" s="5" t="n">
        <v>1265</v>
      </c>
    </row>
    <row r="11" customFormat="false" ht="15" hidden="false" customHeight="false" outlineLevel="0" collapsed="false">
      <c r="A11" s="3" t="s">
        <v>14</v>
      </c>
      <c r="B11" s="5" t="n">
        <v>4</v>
      </c>
    </row>
    <row r="12" customFormat="false" ht="15" hidden="false" customHeight="false" outlineLevel="0" collapsed="false">
      <c r="A12" s="3" t="s">
        <v>15</v>
      </c>
      <c r="B12" s="5" t="n">
        <v>12</v>
      </c>
    </row>
    <row r="14" customFormat="false" ht="15" hidden="false" customHeight="false" outlineLevel="0" collapsed="false">
      <c r="A14" s="3" t="s">
        <v>16</v>
      </c>
    </row>
    <row r="15" customFormat="false" ht="15" hidden="false" customHeight="false" outlineLevel="0" collapsed="false">
      <c r="A15" s="6" t="s">
        <v>17</v>
      </c>
      <c r="B15" s="6" t="s">
        <v>18</v>
      </c>
      <c r="C15" s="6" t="s">
        <v>19</v>
      </c>
    </row>
    <row r="16" customFormat="false" ht="15" hidden="false" customHeight="false" outlineLevel="0" collapsed="false">
      <c r="A16" s="7" t="s">
        <v>20</v>
      </c>
      <c r="B16" s="7" t="s">
        <v>21</v>
      </c>
      <c r="C16" s="7" t="s">
        <v>22</v>
      </c>
    </row>
    <row r="17" customFormat="false" ht="15" hidden="false" customHeight="false" outlineLevel="0" collapsed="false">
      <c r="A17" s="7" t="s">
        <v>23</v>
      </c>
      <c r="B17" s="7" t="s">
        <v>24</v>
      </c>
      <c r="C17" s="7" t="s">
        <v>25</v>
      </c>
    </row>
    <row r="18" customFormat="false" ht="15" hidden="false" customHeight="false" outlineLevel="0" collapsed="false">
      <c r="A18" s="7" t="s">
        <v>26</v>
      </c>
      <c r="B18" s="7" t="s">
        <v>27</v>
      </c>
      <c r="C18" s="7" t="s">
        <v>28</v>
      </c>
    </row>
    <row r="19" customFormat="false" ht="15" hidden="false" customHeight="false" outlineLevel="0" collapsed="false">
      <c r="A19" s="7" t="s">
        <v>29</v>
      </c>
      <c r="B19" s="7" t="s">
        <v>30</v>
      </c>
      <c r="C19" s="7" t="s">
        <v>31</v>
      </c>
    </row>
    <row r="21" customFormat="false" ht="15" hidden="false" customHeight="false" outlineLevel="0" collapsed="false">
      <c r="A21" s="3" t="s">
        <v>32</v>
      </c>
    </row>
    <row r="22" customFormat="false" ht="27.75" hidden="false" customHeight="true" outlineLevel="0" collapsed="false">
      <c r="A22" s="8" t="s">
        <v>33</v>
      </c>
      <c r="B22" s="8"/>
      <c r="C22" s="8"/>
    </row>
    <row r="23" customFormat="false" ht="27.75" hidden="false" customHeight="true" outlineLevel="0" collapsed="false">
      <c r="A23" s="8" t="s">
        <v>34</v>
      </c>
      <c r="B23" s="8"/>
      <c r="C23" s="8"/>
    </row>
    <row r="24" customFormat="false" ht="27.75" hidden="false" customHeight="true" outlineLevel="0" collapsed="false">
      <c r="A24" s="8" t="s">
        <v>35</v>
      </c>
      <c r="B24" s="8"/>
      <c r="C24" s="8"/>
    </row>
    <row r="25" customFormat="false" ht="27.75" hidden="false" customHeight="true" outlineLevel="0" collapsed="false">
      <c r="A25" s="8" t="s">
        <v>36</v>
      </c>
      <c r="B25" s="8"/>
      <c r="C25" s="8"/>
    </row>
    <row r="26" customFormat="false" ht="27.75" hidden="false" customHeight="true" outlineLevel="0" collapsed="false">
      <c r="A26" s="8" t="s">
        <v>37</v>
      </c>
      <c r="B26" s="8"/>
      <c r="C26" s="8"/>
    </row>
    <row r="27" customFormat="false" ht="27.75" hidden="false" customHeight="true" outlineLevel="0" collapsed="false">
      <c r="A27" s="8" t="s">
        <v>38</v>
      </c>
      <c r="B27" s="8"/>
      <c r="C27" s="8"/>
    </row>
    <row r="28" customFormat="false" ht="27.75" hidden="false" customHeight="true" outlineLevel="0" collapsed="false">
      <c r="A28" s="8" t="s">
        <v>39</v>
      </c>
      <c r="B28" s="8"/>
      <c r="C28" s="8"/>
    </row>
  </sheetData>
  <mergeCells count="8">
    <mergeCell ref="A2:D2"/>
    <mergeCell ref="A22:C22"/>
    <mergeCell ref="A23:C23"/>
    <mergeCell ref="A24:C24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1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9" t="s">
        <v>41</v>
      </c>
      <c r="B4" s="9" t="s">
        <v>42</v>
      </c>
      <c r="C4" s="9" t="s">
        <v>43</v>
      </c>
      <c r="D4" s="9" t="s">
        <v>44</v>
      </c>
      <c r="E4" s="9" t="s">
        <v>45</v>
      </c>
      <c r="F4" s="9" t="s">
        <v>17</v>
      </c>
      <c r="G4" s="9" t="s">
        <v>18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19</v>
      </c>
    </row>
    <row r="5" customFormat="false" ht="15" hidden="false" customHeight="false" outlineLevel="0" collapsed="false">
      <c r="A5" s="10" t="s">
        <v>51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23.85" hidden="false" customHeight="false" outlineLevel="0" collapsed="false">
      <c r="A6" s="11" t="n">
        <v>1</v>
      </c>
      <c r="B6" s="11" t="s">
        <v>52</v>
      </c>
      <c r="C6" s="11" t="s">
        <v>53</v>
      </c>
      <c r="D6" s="11" t="s">
        <v>54</v>
      </c>
      <c r="E6" s="11" t="s">
        <v>55</v>
      </c>
      <c r="F6" s="11" t="s">
        <v>56</v>
      </c>
      <c r="G6" s="11" t="s">
        <v>54</v>
      </c>
      <c r="H6" s="11" t="s">
        <v>57</v>
      </c>
      <c r="I6" s="12" t="n">
        <v>30000000</v>
      </c>
      <c r="J6" s="12" t="n">
        <v>18000000</v>
      </c>
      <c r="K6" s="13" t="n">
        <f aca="false">IF(I6=0,0,J6/I6)</f>
        <v>0.6</v>
      </c>
      <c r="L6" s="11" t="s">
        <v>58</v>
      </c>
      <c r="M6" s="11"/>
    </row>
    <row r="7" customFormat="false" ht="15" hidden="false" customHeight="false" outlineLevel="0" collapsed="false">
      <c r="A7" s="11" t="n">
        <v>2</v>
      </c>
      <c r="B7" s="11" t="s">
        <v>59</v>
      </c>
      <c r="C7" s="11" t="s">
        <v>53</v>
      </c>
      <c r="D7" s="11" t="s">
        <v>54</v>
      </c>
      <c r="E7" s="11" t="s">
        <v>60</v>
      </c>
      <c r="F7" s="11" t="s">
        <v>56</v>
      </c>
      <c r="G7" s="11" t="s">
        <v>54</v>
      </c>
      <c r="H7" s="11" t="s">
        <v>57</v>
      </c>
      <c r="I7" s="12" t="n">
        <v>25000000</v>
      </c>
      <c r="J7" s="12" t="n">
        <v>25000000</v>
      </c>
      <c r="K7" s="13" t="n">
        <f aca="false">IF(I7=0,0,J7/I7)</f>
        <v>1</v>
      </c>
      <c r="L7" s="11" t="s">
        <v>61</v>
      </c>
      <c r="M7" s="11"/>
    </row>
    <row r="8" customFormat="false" ht="23.85" hidden="false" customHeight="false" outlineLevel="0" collapsed="false">
      <c r="A8" s="11" t="n">
        <v>3</v>
      </c>
      <c r="B8" s="11" t="s">
        <v>62</v>
      </c>
      <c r="C8" s="11" t="s">
        <v>53</v>
      </c>
      <c r="D8" s="11" t="s">
        <v>54</v>
      </c>
      <c r="E8" s="11" t="s">
        <v>63</v>
      </c>
      <c r="F8" s="11" t="s">
        <v>56</v>
      </c>
      <c r="G8" s="11" t="s">
        <v>54</v>
      </c>
      <c r="H8" s="11" t="s">
        <v>57</v>
      </c>
      <c r="I8" s="12" t="n">
        <v>10000000</v>
      </c>
      <c r="J8" s="12" t="n">
        <v>6000000</v>
      </c>
      <c r="K8" s="13" t="n">
        <f aca="false">IF(I8=0,0,J8/I8)</f>
        <v>0.6</v>
      </c>
      <c r="L8" s="11" t="s">
        <v>58</v>
      </c>
      <c r="M8" s="11"/>
    </row>
    <row r="9" customFormat="false" ht="23.85" hidden="false" customHeight="false" outlineLevel="0" collapsed="false">
      <c r="A9" s="11" t="n">
        <v>4</v>
      </c>
      <c r="B9" s="11" t="s">
        <v>64</v>
      </c>
      <c r="C9" s="11" t="s">
        <v>53</v>
      </c>
      <c r="D9" s="11" t="s">
        <v>54</v>
      </c>
      <c r="E9" s="11" t="s">
        <v>65</v>
      </c>
      <c r="F9" s="11" t="s">
        <v>56</v>
      </c>
      <c r="G9" s="11" t="s">
        <v>54</v>
      </c>
      <c r="H9" s="11" t="s">
        <v>65</v>
      </c>
      <c r="I9" s="12" t="n">
        <v>939000000</v>
      </c>
      <c r="J9" s="12" t="n">
        <v>657300000</v>
      </c>
      <c r="K9" s="13" t="n">
        <f aca="false">IF(I9=0,0,J9/I9)</f>
        <v>0.7</v>
      </c>
      <c r="L9" s="11" t="s">
        <v>58</v>
      </c>
      <c r="M9" s="11" t="s">
        <v>66</v>
      </c>
    </row>
    <row r="10" customFormat="false" ht="23.85" hidden="false" customHeight="false" outlineLevel="0" collapsed="false">
      <c r="A10" s="11" t="n">
        <v>5</v>
      </c>
      <c r="B10" s="11" t="s">
        <v>67</v>
      </c>
      <c r="C10" s="11" t="s">
        <v>53</v>
      </c>
      <c r="D10" s="11" t="s">
        <v>54</v>
      </c>
      <c r="E10" s="11" t="s">
        <v>68</v>
      </c>
      <c r="F10" s="11" t="s">
        <v>56</v>
      </c>
      <c r="G10" s="11" t="s">
        <v>54</v>
      </c>
      <c r="H10" s="11" t="s">
        <v>69</v>
      </c>
      <c r="I10" s="12" t="n">
        <v>30000000</v>
      </c>
      <c r="J10" s="12" t="n">
        <v>20000000</v>
      </c>
      <c r="K10" s="13" t="n">
        <f aca="false">IF(I10=0,0,J10/I10)</f>
        <v>0.666666666666667</v>
      </c>
      <c r="L10" s="11" t="s">
        <v>58</v>
      </c>
      <c r="M10" s="11"/>
    </row>
    <row r="11" customFormat="false" ht="23.85" hidden="false" customHeight="false" outlineLevel="0" collapsed="false">
      <c r="A11" s="11" t="n">
        <v>6</v>
      </c>
      <c r="B11" s="11" t="s">
        <v>70</v>
      </c>
      <c r="C11" s="11" t="s">
        <v>53</v>
      </c>
      <c r="D11" s="11" t="s">
        <v>54</v>
      </c>
      <c r="E11" s="11" t="s">
        <v>71</v>
      </c>
      <c r="F11" s="11" t="s">
        <v>56</v>
      </c>
      <c r="G11" s="11" t="s">
        <v>54</v>
      </c>
      <c r="H11" s="11" t="s">
        <v>72</v>
      </c>
      <c r="I11" s="12" t="n">
        <v>422000000</v>
      </c>
      <c r="J11" s="12" t="n">
        <v>316500000</v>
      </c>
      <c r="K11" s="13" t="n">
        <f aca="false">IF(I11=0,0,J11/I11)</f>
        <v>0.75</v>
      </c>
      <c r="L11" s="11" t="s">
        <v>58</v>
      </c>
      <c r="M11" s="11" t="s">
        <v>73</v>
      </c>
    </row>
    <row r="12" customFormat="false" ht="23.85" hidden="false" customHeight="false" outlineLevel="0" collapsed="false">
      <c r="A12" s="11" t="n">
        <v>7</v>
      </c>
      <c r="B12" s="11" t="s">
        <v>74</v>
      </c>
      <c r="C12" s="11" t="s">
        <v>53</v>
      </c>
      <c r="D12" s="11" t="s">
        <v>54</v>
      </c>
      <c r="E12" s="11" t="s">
        <v>75</v>
      </c>
      <c r="F12" s="11" t="s">
        <v>56</v>
      </c>
      <c r="G12" s="11" t="s">
        <v>54</v>
      </c>
      <c r="H12" s="11" t="s">
        <v>76</v>
      </c>
      <c r="I12" s="12" t="n">
        <v>50000000</v>
      </c>
      <c r="J12" s="12" t="n">
        <v>35000000</v>
      </c>
      <c r="K12" s="13" t="n">
        <f aca="false">IF(I12=0,0,J12/I12)</f>
        <v>0.7</v>
      </c>
      <c r="L12" s="11" t="s">
        <v>58</v>
      </c>
      <c r="M12" s="11" t="s">
        <v>77</v>
      </c>
    </row>
    <row r="13" customFormat="false" ht="15" hidden="false" customHeight="false" outlineLevel="0" collapsed="false">
      <c r="A13" s="10" t="s">
        <v>78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11" t="n">
        <v>8</v>
      </c>
      <c r="B14" s="11" t="s">
        <v>79</v>
      </c>
      <c r="C14" s="11" t="s">
        <v>80</v>
      </c>
      <c r="D14" s="11" t="s">
        <v>81</v>
      </c>
      <c r="E14" s="11" t="s">
        <v>82</v>
      </c>
      <c r="F14" s="11" t="s">
        <v>56</v>
      </c>
      <c r="G14" s="11" t="s">
        <v>54</v>
      </c>
      <c r="H14" s="11" t="s">
        <v>72</v>
      </c>
      <c r="I14" s="12" t="n">
        <v>252000000</v>
      </c>
      <c r="J14" s="12" t="n">
        <v>189000000</v>
      </c>
      <c r="K14" s="13" t="n">
        <f aca="false">IF(I14=0,0,J14/I14)</f>
        <v>0.75</v>
      </c>
      <c r="L14" s="11" t="s">
        <v>83</v>
      </c>
      <c r="M14" s="11" t="s">
        <v>84</v>
      </c>
    </row>
    <row r="15" customFormat="false" ht="15" hidden="false" customHeight="false" outlineLevel="0" collapsed="false">
      <c r="A15" s="11" t="n">
        <v>9</v>
      </c>
      <c r="B15" s="11" t="s">
        <v>85</v>
      </c>
      <c r="C15" s="11" t="s">
        <v>80</v>
      </c>
      <c r="D15" s="11" t="s">
        <v>81</v>
      </c>
      <c r="E15" s="11" t="s">
        <v>86</v>
      </c>
      <c r="F15" s="11" t="s">
        <v>56</v>
      </c>
      <c r="G15" s="11" t="s">
        <v>54</v>
      </c>
      <c r="H15" s="11" t="s">
        <v>72</v>
      </c>
      <c r="I15" s="12" t="n">
        <v>48000000</v>
      </c>
      <c r="J15" s="12" t="n">
        <v>36000000</v>
      </c>
      <c r="K15" s="13" t="n">
        <f aca="false">IF(I15=0,0,J15/I15)</f>
        <v>0.75</v>
      </c>
      <c r="L15" s="11" t="s">
        <v>83</v>
      </c>
      <c r="M15" s="11" t="s">
        <v>87</v>
      </c>
    </row>
    <row r="16" customFormat="false" ht="15" hidden="false" customHeight="false" outlineLevel="0" collapsed="false">
      <c r="A16" s="11" t="n">
        <v>10</v>
      </c>
      <c r="B16" s="11" t="s">
        <v>88</v>
      </c>
      <c r="C16" s="11" t="s">
        <v>80</v>
      </c>
      <c r="D16" s="11" t="s">
        <v>81</v>
      </c>
      <c r="E16" s="11" t="s">
        <v>89</v>
      </c>
      <c r="F16" s="11" t="s">
        <v>56</v>
      </c>
      <c r="G16" s="11" t="s">
        <v>54</v>
      </c>
      <c r="H16" s="11" t="s">
        <v>72</v>
      </c>
      <c r="I16" s="12" t="n">
        <v>36000000</v>
      </c>
      <c r="J16" s="12" t="n">
        <v>27000000</v>
      </c>
      <c r="K16" s="13" t="n">
        <f aca="false">IF(I16=0,0,J16/I16)</f>
        <v>0.75</v>
      </c>
      <c r="L16" s="11" t="s">
        <v>83</v>
      </c>
      <c r="M16" s="11" t="s">
        <v>90</v>
      </c>
    </row>
    <row r="17" customFormat="false" ht="15" hidden="false" customHeight="false" outlineLevel="0" collapsed="false">
      <c r="A17" s="11" t="n">
        <v>11</v>
      </c>
      <c r="B17" s="11" t="s">
        <v>91</v>
      </c>
      <c r="C17" s="11" t="s">
        <v>80</v>
      </c>
      <c r="D17" s="11" t="s">
        <v>81</v>
      </c>
      <c r="E17" s="11" t="s">
        <v>92</v>
      </c>
      <c r="F17" s="11" t="s">
        <v>56</v>
      </c>
      <c r="G17" s="11" t="s">
        <v>54</v>
      </c>
      <c r="H17" s="11" t="s">
        <v>72</v>
      </c>
      <c r="I17" s="12" t="n">
        <v>42000000</v>
      </c>
      <c r="J17" s="12" t="n">
        <v>30500000</v>
      </c>
      <c r="K17" s="13" t="n">
        <f aca="false">IF(I17=0,0,J17/I17)</f>
        <v>0.726190476190476</v>
      </c>
      <c r="L17" s="11" t="s">
        <v>83</v>
      </c>
      <c r="M17" s="11"/>
    </row>
    <row r="18" customFormat="false" ht="15" hidden="false" customHeight="false" outlineLevel="0" collapsed="false">
      <c r="A18" s="11" t="n">
        <v>12</v>
      </c>
      <c r="B18" s="11" t="s">
        <v>93</v>
      </c>
      <c r="C18" s="11" t="s">
        <v>80</v>
      </c>
      <c r="D18" s="11" t="s">
        <v>81</v>
      </c>
      <c r="E18" s="11" t="s">
        <v>94</v>
      </c>
      <c r="F18" s="11" t="s">
        <v>20</v>
      </c>
      <c r="G18" s="11" t="s">
        <v>95</v>
      </c>
      <c r="H18" s="11" t="s">
        <v>57</v>
      </c>
      <c r="I18" s="12" t="n">
        <v>25000000</v>
      </c>
      <c r="J18" s="12" t="n">
        <v>25000000</v>
      </c>
      <c r="K18" s="13" t="n">
        <f aca="false">IF(I18=0,0,J18/I18)</f>
        <v>1</v>
      </c>
      <c r="L18" s="11" t="s">
        <v>96</v>
      </c>
      <c r="M18" s="11" t="s">
        <v>97</v>
      </c>
    </row>
    <row r="19" customFormat="false" ht="15" hidden="false" customHeight="false" outlineLevel="0" collapsed="false">
      <c r="A19" s="11" t="n">
        <v>13</v>
      </c>
      <c r="B19" s="11" t="s">
        <v>98</v>
      </c>
      <c r="C19" s="11" t="s">
        <v>80</v>
      </c>
      <c r="D19" s="11" t="s">
        <v>81</v>
      </c>
      <c r="E19" s="11" t="s">
        <v>99</v>
      </c>
      <c r="F19" s="11" t="s">
        <v>56</v>
      </c>
      <c r="G19" s="11" t="s">
        <v>54</v>
      </c>
      <c r="H19" s="11" t="s">
        <v>72</v>
      </c>
      <c r="I19" s="12" t="n">
        <v>12000000</v>
      </c>
      <c r="J19" s="12" t="n">
        <v>6000000</v>
      </c>
      <c r="K19" s="13" t="n">
        <f aca="false">IF(I19=0,0,J19/I19)</f>
        <v>0.5</v>
      </c>
      <c r="L19" s="11" t="s">
        <v>83</v>
      </c>
      <c r="M19" s="11" t="s">
        <v>100</v>
      </c>
    </row>
    <row r="20" customFormat="false" ht="15" hidden="false" customHeight="false" outlineLevel="0" collapsed="false">
      <c r="A20" s="11" t="n">
        <v>14</v>
      </c>
      <c r="B20" s="11" t="s">
        <v>101</v>
      </c>
      <c r="C20" s="11" t="s">
        <v>80</v>
      </c>
      <c r="D20" s="11" t="s">
        <v>81</v>
      </c>
      <c r="E20" s="11" t="s">
        <v>102</v>
      </c>
      <c r="F20" s="11" t="s">
        <v>56</v>
      </c>
      <c r="G20" s="11" t="s">
        <v>54</v>
      </c>
      <c r="H20" s="11" t="s">
        <v>72</v>
      </c>
      <c r="I20" s="12" t="n">
        <v>8000000</v>
      </c>
      <c r="J20" s="12" t="n">
        <v>8000000</v>
      </c>
      <c r="K20" s="13" t="n">
        <f aca="false">IF(I20=0,0,J20/I20)</f>
        <v>1</v>
      </c>
      <c r="L20" s="11" t="s">
        <v>96</v>
      </c>
      <c r="M20" s="11"/>
    </row>
    <row r="21" customFormat="false" ht="23.85" hidden="false" customHeight="false" outlineLevel="0" collapsed="false">
      <c r="A21" s="11" t="n">
        <v>15</v>
      </c>
      <c r="B21" s="11" t="s">
        <v>103</v>
      </c>
      <c r="C21" s="11" t="s">
        <v>80</v>
      </c>
      <c r="D21" s="11" t="s">
        <v>104</v>
      </c>
      <c r="E21" s="11" t="s">
        <v>105</v>
      </c>
      <c r="F21" s="11" t="s">
        <v>20</v>
      </c>
      <c r="G21" s="11" t="s">
        <v>106</v>
      </c>
      <c r="H21" s="11" t="s">
        <v>65</v>
      </c>
      <c r="I21" s="12" t="n">
        <v>185000000</v>
      </c>
      <c r="J21" s="12" t="n">
        <v>185000000</v>
      </c>
      <c r="K21" s="13" t="n">
        <f aca="false">IF(I21=0,0,J21/I21)</f>
        <v>1</v>
      </c>
      <c r="L21" s="11" t="s">
        <v>96</v>
      </c>
      <c r="M21" s="11" t="s">
        <v>107</v>
      </c>
    </row>
    <row r="22" customFormat="false" ht="15" hidden="false" customHeight="false" outlineLevel="0" collapsed="false">
      <c r="A22" s="11" t="n">
        <v>16</v>
      </c>
      <c r="B22" s="11" t="s">
        <v>108</v>
      </c>
      <c r="C22" s="11" t="s">
        <v>80</v>
      </c>
      <c r="D22" s="11" t="s">
        <v>104</v>
      </c>
      <c r="E22" s="11" t="s">
        <v>109</v>
      </c>
      <c r="F22" s="11" t="s">
        <v>23</v>
      </c>
      <c r="G22" s="11" t="s">
        <v>110</v>
      </c>
      <c r="H22" s="11" t="s">
        <v>65</v>
      </c>
      <c r="I22" s="12" t="n">
        <v>96000000</v>
      </c>
      <c r="J22" s="12" t="n">
        <v>48000000</v>
      </c>
      <c r="K22" s="13" t="n">
        <f aca="false">IF(I22=0,0,J22/I22)</f>
        <v>0.5</v>
      </c>
      <c r="L22" s="11" t="s">
        <v>83</v>
      </c>
      <c r="M22" s="11" t="s">
        <v>111</v>
      </c>
    </row>
    <row r="23" customFormat="false" ht="23.85" hidden="false" customHeight="false" outlineLevel="0" collapsed="false">
      <c r="A23" s="11" t="n">
        <v>17</v>
      </c>
      <c r="B23" s="11" t="s">
        <v>112</v>
      </c>
      <c r="C23" s="11" t="s">
        <v>80</v>
      </c>
      <c r="D23" s="11" t="s">
        <v>104</v>
      </c>
      <c r="E23" s="11" t="s">
        <v>113</v>
      </c>
      <c r="F23" s="11" t="s">
        <v>23</v>
      </c>
      <c r="G23" s="11" t="s">
        <v>114</v>
      </c>
      <c r="H23" s="11" t="s">
        <v>65</v>
      </c>
      <c r="I23" s="12" t="n">
        <v>70000000</v>
      </c>
      <c r="J23" s="12" t="n">
        <v>0</v>
      </c>
      <c r="K23" s="13" t="n">
        <f aca="false">IF(I23=0,0,J23/I23)</f>
        <v>0</v>
      </c>
      <c r="L23" s="11" t="s">
        <v>115</v>
      </c>
      <c r="M23" s="11" t="s">
        <v>116</v>
      </c>
    </row>
    <row r="24" customFormat="false" ht="15" hidden="false" customHeight="false" outlineLevel="0" collapsed="false">
      <c r="A24" s="11" t="n">
        <v>18</v>
      </c>
      <c r="B24" s="11" t="s">
        <v>117</v>
      </c>
      <c r="C24" s="11" t="s">
        <v>80</v>
      </c>
      <c r="D24" s="11" t="s">
        <v>104</v>
      </c>
      <c r="E24" s="11" t="s">
        <v>118</v>
      </c>
      <c r="F24" s="11" t="s">
        <v>26</v>
      </c>
      <c r="G24" s="11" t="s">
        <v>119</v>
      </c>
      <c r="H24" s="11" t="s">
        <v>65</v>
      </c>
      <c r="I24" s="12" t="n">
        <v>74000000</v>
      </c>
      <c r="J24" s="12" t="n">
        <v>51800000</v>
      </c>
      <c r="K24" s="13" t="n">
        <f aca="false">IF(I24=0,0,J24/I24)</f>
        <v>0.7</v>
      </c>
      <c r="L24" s="11" t="s">
        <v>83</v>
      </c>
      <c r="M24" s="11" t="s">
        <v>120</v>
      </c>
    </row>
    <row r="25" customFormat="false" ht="15" hidden="false" customHeight="false" outlineLevel="0" collapsed="false">
      <c r="A25" s="11" t="n">
        <v>19</v>
      </c>
      <c r="B25" s="11" t="s">
        <v>121</v>
      </c>
      <c r="C25" s="11" t="s">
        <v>80</v>
      </c>
      <c r="D25" s="11" t="s">
        <v>104</v>
      </c>
      <c r="E25" s="11" t="s">
        <v>122</v>
      </c>
      <c r="F25" s="11" t="s">
        <v>29</v>
      </c>
      <c r="G25" s="11" t="s">
        <v>123</v>
      </c>
      <c r="H25" s="11" t="s">
        <v>65</v>
      </c>
      <c r="I25" s="12" t="n">
        <v>112000000</v>
      </c>
      <c r="J25" s="12" t="n">
        <v>112000000</v>
      </c>
      <c r="K25" s="13" t="n">
        <f aca="false">IF(I25=0,0,J25/I25)</f>
        <v>1</v>
      </c>
      <c r="L25" s="11" t="s">
        <v>96</v>
      </c>
      <c r="M25" s="11" t="s">
        <v>124</v>
      </c>
    </row>
    <row r="26" customFormat="false" ht="15" hidden="false" customHeight="false" outlineLevel="0" collapsed="false">
      <c r="A26" s="11" t="n">
        <v>20</v>
      </c>
      <c r="B26" s="11" t="s">
        <v>125</v>
      </c>
      <c r="C26" s="11" t="s">
        <v>80</v>
      </c>
      <c r="D26" s="11" t="s">
        <v>104</v>
      </c>
      <c r="E26" s="11" t="s">
        <v>126</v>
      </c>
      <c r="F26" s="11" t="s">
        <v>29</v>
      </c>
      <c r="G26" s="11" t="s">
        <v>127</v>
      </c>
      <c r="H26" s="11" t="s">
        <v>65</v>
      </c>
      <c r="I26" s="12" t="n">
        <v>65000000</v>
      </c>
      <c r="J26" s="12" t="n">
        <v>0</v>
      </c>
      <c r="K26" s="13" t="n">
        <f aca="false">IF(I26=0,0,J26/I26)</f>
        <v>0</v>
      </c>
      <c r="L26" s="11" t="s">
        <v>115</v>
      </c>
      <c r="M26" s="11" t="s">
        <v>128</v>
      </c>
    </row>
    <row r="27" customFormat="false" ht="23.85" hidden="false" customHeight="false" outlineLevel="0" collapsed="false">
      <c r="A27" s="11" t="n">
        <v>21</v>
      </c>
      <c r="B27" s="11" t="s">
        <v>129</v>
      </c>
      <c r="C27" s="11" t="s">
        <v>80</v>
      </c>
      <c r="D27" s="11" t="s">
        <v>104</v>
      </c>
      <c r="E27" s="11" t="s">
        <v>130</v>
      </c>
      <c r="F27" s="11" t="s">
        <v>26</v>
      </c>
      <c r="G27" s="11" t="s">
        <v>131</v>
      </c>
      <c r="H27" s="11" t="s">
        <v>76</v>
      </c>
      <c r="I27" s="12" t="n">
        <v>50000000</v>
      </c>
      <c r="J27" s="12" t="n">
        <v>35000000</v>
      </c>
      <c r="K27" s="13" t="n">
        <f aca="false">IF(I27=0,0,J27/I27)</f>
        <v>0.7</v>
      </c>
      <c r="L27" s="11" t="s">
        <v>83</v>
      </c>
      <c r="M27" s="11" t="s">
        <v>132</v>
      </c>
    </row>
    <row r="28" customFormat="false" ht="15" hidden="false" customHeight="false" outlineLevel="0" collapsed="false">
      <c r="A28" s="11" t="n">
        <v>22</v>
      </c>
      <c r="B28" s="11" t="s">
        <v>133</v>
      </c>
      <c r="C28" s="11" t="s">
        <v>80</v>
      </c>
      <c r="D28" s="11" t="s">
        <v>104</v>
      </c>
      <c r="E28" s="11" t="s">
        <v>134</v>
      </c>
      <c r="F28" s="11" t="s">
        <v>56</v>
      </c>
      <c r="G28" s="11" t="s">
        <v>54</v>
      </c>
      <c r="H28" s="11" t="s">
        <v>65</v>
      </c>
      <c r="I28" s="12" t="n">
        <v>30000000</v>
      </c>
      <c r="J28" s="12" t="n">
        <v>22500000</v>
      </c>
      <c r="K28" s="13" t="n">
        <f aca="false">IF(I28=0,0,J28/I28)</f>
        <v>0.75</v>
      </c>
      <c r="L28" s="11" t="s">
        <v>83</v>
      </c>
      <c r="M28" s="11"/>
    </row>
    <row r="29" customFormat="false" ht="23.85" hidden="false" customHeight="false" outlineLevel="0" collapsed="false">
      <c r="A29" s="11" t="n">
        <v>23</v>
      </c>
      <c r="B29" s="11" t="s">
        <v>135</v>
      </c>
      <c r="C29" s="11" t="s">
        <v>80</v>
      </c>
      <c r="D29" s="11" t="s">
        <v>104</v>
      </c>
      <c r="E29" s="11" t="s">
        <v>136</v>
      </c>
      <c r="F29" s="11" t="s">
        <v>56</v>
      </c>
      <c r="G29" s="11" t="s">
        <v>54</v>
      </c>
      <c r="H29" s="11" t="s">
        <v>65</v>
      </c>
      <c r="I29" s="12" t="n">
        <v>48000000</v>
      </c>
      <c r="J29" s="12" t="n">
        <v>32000000</v>
      </c>
      <c r="K29" s="13" t="n">
        <f aca="false">IF(I29=0,0,J29/I29)</f>
        <v>0.666666666666667</v>
      </c>
      <c r="L29" s="11" t="s">
        <v>83</v>
      </c>
      <c r="M29" s="11" t="s">
        <v>137</v>
      </c>
    </row>
    <row r="30" customFormat="false" ht="15" hidden="false" customHeight="false" outlineLevel="0" collapsed="false">
      <c r="A30" s="11" t="n">
        <v>24</v>
      </c>
      <c r="B30" s="11" t="s">
        <v>138</v>
      </c>
      <c r="C30" s="11" t="s">
        <v>80</v>
      </c>
      <c r="D30" s="11" t="s">
        <v>104</v>
      </c>
      <c r="E30" s="11" t="s">
        <v>139</v>
      </c>
      <c r="F30" s="11" t="s">
        <v>56</v>
      </c>
      <c r="G30" s="11" t="s">
        <v>54</v>
      </c>
      <c r="H30" s="11" t="s">
        <v>65</v>
      </c>
      <c r="I30" s="12" t="n">
        <v>36000000</v>
      </c>
      <c r="J30" s="12" t="n">
        <v>27000000</v>
      </c>
      <c r="K30" s="13" t="n">
        <f aca="false">IF(I30=0,0,J30/I30)</f>
        <v>0.75</v>
      </c>
      <c r="L30" s="11" t="s">
        <v>83</v>
      </c>
      <c r="M30" s="11" t="s">
        <v>140</v>
      </c>
    </row>
    <row r="31" customFormat="false" ht="15" hidden="false" customHeight="false" outlineLevel="0" collapsed="false">
      <c r="A31" s="11" t="n">
        <v>25</v>
      </c>
      <c r="B31" s="11" t="s">
        <v>141</v>
      </c>
      <c r="C31" s="11" t="s">
        <v>80</v>
      </c>
      <c r="D31" s="11" t="s">
        <v>104</v>
      </c>
      <c r="E31" s="11" t="s">
        <v>142</v>
      </c>
      <c r="F31" s="11" t="s">
        <v>56</v>
      </c>
      <c r="G31" s="11" t="s">
        <v>54</v>
      </c>
      <c r="H31" s="11" t="s">
        <v>72</v>
      </c>
      <c r="I31" s="12" t="n">
        <v>24000000</v>
      </c>
      <c r="J31" s="12" t="n">
        <v>18000000</v>
      </c>
      <c r="K31" s="13" t="n">
        <f aca="false">IF(I31=0,0,J31/I31)</f>
        <v>0.75</v>
      </c>
      <c r="L31" s="11" t="s">
        <v>83</v>
      </c>
      <c r="M31" s="11" t="s">
        <v>143</v>
      </c>
    </row>
    <row r="32" customFormat="false" ht="15" hidden="false" customHeight="false" outlineLevel="0" collapsed="false">
      <c r="A32" s="11" t="n">
        <v>26</v>
      </c>
      <c r="B32" s="11" t="s">
        <v>144</v>
      </c>
      <c r="C32" s="11" t="s">
        <v>80</v>
      </c>
      <c r="D32" s="11" t="s">
        <v>145</v>
      </c>
      <c r="E32" s="11" t="s">
        <v>146</v>
      </c>
      <c r="F32" s="11" t="s">
        <v>56</v>
      </c>
      <c r="G32" s="11" t="s">
        <v>54</v>
      </c>
      <c r="H32" s="11" t="s">
        <v>69</v>
      </c>
      <c r="I32" s="12" t="n">
        <v>12000000</v>
      </c>
      <c r="J32" s="12" t="n">
        <v>9000000</v>
      </c>
      <c r="K32" s="13" t="n">
        <f aca="false">IF(I32=0,0,J32/I32)</f>
        <v>0.75</v>
      </c>
      <c r="L32" s="11" t="s">
        <v>83</v>
      </c>
      <c r="M32" s="11"/>
    </row>
    <row r="33" customFormat="false" ht="15" hidden="false" customHeight="false" outlineLevel="0" collapsed="false">
      <c r="A33" s="11" t="n">
        <v>27</v>
      </c>
      <c r="B33" s="11" t="s">
        <v>147</v>
      </c>
      <c r="C33" s="11" t="s">
        <v>80</v>
      </c>
      <c r="D33" s="11" t="s">
        <v>145</v>
      </c>
      <c r="E33" s="11" t="s">
        <v>148</v>
      </c>
      <c r="F33" s="11" t="s">
        <v>56</v>
      </c>
      <c r="G33" s="11" t="s">
        <v>54</v>
      </c>
      <c r="H33" s="11" t="s">
        <v>69</v>
      </c>
      <c r="I33" s="12" t="n">
        <v>18000000</v>
      </c>
      <c r="J33" s="12" t="n">
        <v>11000000</v>
      </c>
      <c r="K33" s="13" t="n">
        <f aca="false">IF(I33=0,0,J33/I33)</f>
        <v>0.611111111111111</v>
      </c>
      <c r="L33" s="11" t="s">
        <v>83</v>
      </c>
      <c r="M33" s="11"/>
    </row>
    <row r="34" customFormat="false" ht="15" hidden="false" customHeight="false" outlineLevel="0" collapsed="false">
      <c r="A34" s="11" t="n">
        <v>28</v>
      </c>
      <c r="B34" s="11" t="s">
        <v>149</v>
      </c>
      <c r="C34" s="11" t="s">
        <v>80</v>
      </c>
      <c r="D34" s="11" t="s">
        <v>145</v>
      </c>
      <c r="E34" s="11" t="s">
        <v>150</v>
      </c>
      <c r="F34" s="11" t="s">
        <v>56</v>
      </c>
      <c r="G34" s="11" t="s">
        <v>54</v>
      </c>
      <c r="H34" s="11" t="s">
        <v>57</v>
      </c>
      <c r="I34" s="12" t="n">
        <v>15000000</v>
      </c>
      <c r="J34" s="12" t="n">
        <v>15000000</v>
      </c>
      <c r="K34" s="13" t="n">
        <f aca="false">IF(I34=0,0,J34/I34)</f>
        <v>1</v>
      </c>
      <c r="L34" s="11" t="s">
        <v>96</v>
      </c>
      <c r="M34" s="11" t="s">
        <v>151</v>
      </c>
    </row>
    <row r="35" customFormat="false" ht="15" hidden="false" customHeight="false" outlineLevel="0" collapsed="false">
      <c r="A35" s="11" t="n">
        <v>29</v>
      </c>
      <c r="B35" s="11" t="s">
        <v>152</v>
      </c>
      <c r="C35" s="11" t="s">
        <v>80</v>
      </c>
      <c r="D35" s="11" t="s">
        <v>145</v>
      </c>
      <c r="E35" s="11" t="s">
        <v>153</v>
      </c>
      <c r="F35" s="11" t="s">
        <v>56</v>
      </c>
      <c r="G35" s="11" t="s">
        <v>54</v>
      </c>
      <c r="H35" s="11" t="s">
        <v>57</v>
      </c>
      <c r="I35" s="12" t="n">
        <v>10000000</v>
      </c>
      <c r="J35" s="12" t="n">
        <v>10000000</v>
      </c>
      <c r="K35" s="13" t="n">
        <f aca="false">IF(I35=0,0,J35/I35)</f>
        <v>1</v>
      </c>
      <c r="L35" s="11" t="s">
        <v>96</v>
      </c>
      <c r="M35" s="11"/>
    </row>
    <row r="36" customFormat="false" ht="23.85" hidden="false" customHeight="false" outlineLevel="0" collapsed="false">
      <c r="A36" s="11" t="n">
        <v>30</v>
      </c>
      <c r="B36" s="11" t="s">
        <v>154</v>
      </c>
      <c r="C36" s="11" t="s">
        <v>80</v>
      </c>
      <c r="D36" s="11" t="s">
        <v>155</v>
      </c>
      <c r="E36" s="11" t="s">
        <v>156</v>
      </c>
      <c r="F36" s="11" t="s">
        <v>29</v>
      </c>
      <c r="G36" s="11" t="s">
        <v>54</v>
      </c>
      <c r="H36" s="11" t="s">
        <v>65</v>
      </c>
      <c r="I36" s="12" t="n">
        <v>20000000</v>
      </c>
      <c r="J36" s="12" t="n">
        <v>0</v>
      </c>
      <c r="K36" s="13" t="n">
        <f aca="false">IF(I36=0,0,J36/I36)</f>
        <v>0</v>
      </c>
      <c r="L36" s="11" t="s">
        <v>115</v>
      </c>
      <c r="M36" s="11" t="s">
        <v>157</v>
      </c>
    </row>
    <row r="37" customFormat="false" ht="15" hidden="false" customHeight="false" outlineLevel="0" collapsed="false">
      <c r="A37" s="11" t="n">
        <v>31</v>
      </c>
      <c r="B37" s="11" t="s">
        <v>158</v>
      </c>
      <c r="C37" s="11" t="s">
        <v>80</v>
      </c>
      <c r="D37" s="11" t="s">
        <v>155</v>
      </c>
      <c r="E37" s="11" t="s">
        <v>159</v>
      </c>
      <c r="F37" s="11" t="s">
        <v>29</v>
      </c>
      <c r="G37" s="11" t="s">
        <v>54</v>
      </c>
      <c r="H37" s="11" t="s">
        <v>65</v>
      </c>
      <c r="I37" s="12" t="n">
        <v>35000000</v>
      </c>
      <c r="J37" s="12" t="n">
        <v>35000000</v>
      </c>
      <c r="K37" s="13" t="n">
        <f aca="false">IF(I37=0,0,J37/I37)</f>
        <v>1</v>
      </c>
      <c r="L37" s="11" t="s">
        <v>96</v>
      </c>
      <c r="M37" s="11" t="s">
        <v>160</v>
      </c>
    </row>
    <row r="38" customFormat="false" ht="15" hidden="false" customHeight="false" outlineLevel="0" collapsed="false">
      <c r="A38" s="11" t="n">
        <v>32</v>
      </c>
      <c r="B38" s="11" t="s">
        <v>161</v>
      </c>
      <c r="C38" s="11" t="s">
        <v>80</v>
      </c>
      <c r="D38" s="11" t="s">
        <v>155</v>
      </c>
      <c r="E38" s="11" t="s">
        <v>162</v>
      </c>
      <c r="F38" s="11" t="s">
        <v>56</v>
      </c>
      <c r="G38" s="11" t="s">
        <v>54</v>
      </c>
      <c r="H38" s="11" t="s">
        <v>65</v>
      </c>
      <c r="I38" s="12" t="n">
        <v>15000000</v>
      </c>
      <c r="J38" s="12" t="n">
        <v>15000000</v>
      </c>
      <c r="K38" s="13" t="n">
        <f aca="false">IF(I38=0,0,J38/I38)</f>
        <v>1</v>
      </c>
      <c r="L38" s="11" t="s">
        <v>96</v>
      </c>
      <c r="M38" s="11" t="s">
        <v>163</v>
      </c>
    </row>
    <row r="39" customFormat="false" ht="23.85" hidden="false" customHeight="false" outlineLevel="0" collapsed="false">
      <c r="A39" s="11" t="n">
        <v>33</v>
      </c>
      <c r="B39" s="11" t="s">
        <v>164</v>
      </c>
      <c r="C39" s="11" t="s">
        <v>80</v>
      </c>
      <c r="D39" s="11" t="s">
        <v>165</v>
      </c>
      <c r="E39" s="11" t="s">
        <v>166</v>
      </c>
      <c r="F39" s="11" t="s">
        <v>56</v>
      </c>
      <c r="G39" s="11" t="s">
        <v>54</v>
      </c>
      <c r="H39" s="11" t="s">
        <v>65</v>
      </c>
      <c r="I39" s="12" t="n">
        <v>108000000</v>
      </c>
      <c r="J39" s="12" t="n">
        <v>81000000</v>
      </c>
      <c r="K39" s="13" t="n">
        <f aca="false">IF(I39=0,0,J39/I39)</f>
        <v>0.75</v>
      </c>
      <c r="L39" s="11" t="s">
        <v>83</v>
      </c>
      <c r="M39" s="11" t="s">
        <v>167</v>
      </c>
    </row>
    <row r="40" customFormat="false" ht="23.85" hidden="false" customHeight="false" outlineLevel="0" collapsed="false">
      <c r="A40" s="11" t="n">
        <v>34</v>
      </c>
      <c r="B40" s="11" t="s">
        <v>168</v>
      </c>
      <c r="C40" s="11" t="s">
        <v>80</v>
      </c>
      <c r="D40" s="11" t="s">
        <v>165</v>
      </c>
      <c r="E40" s="11" t="s">
        <v>169</v>
      </c>
      <c r="F40" s="11" t="s">
        <v>56</v>
      </c>
      <c r="G40" s="11" t="s">
        <v>54</v>
      </c>
      <c r="H40" s="11" t="s">
        <v>65</v>
      </c>
      <c r="I40" s="12" t="n">
        <v>25000000</v>
      </c>
      <c r="J40" s="12" t="n">
        <v>6500000</v>
      </c>
      <c r="K40" s="13" t="n">
        <f aca="false">IF(I40=0,0,J40/I40)</f>
        <v>0.26</v>
      </c>
      <c r="L40" s="11" t="s">
        <v>83</v>
      </c>
      <c r="M40" s="11" t="s">
        <v>170</v>
      </c>
    </row>
    <row r="41" customFormat="false" ht="23.85" hidden="false" customHeight="false" outlineLevel="0" collapsed="false">
      <c r="A41" s="11" t="n">
        <v>35</v>
      </c>
      <c r="B41" s="11" t="s">
        <v>171</v>
      </c>
      <c r="C41" s="11" t="s">
        <v>80</v>
      </c>
      <c r="D41" s="11" t="s">
        <v>165</v>
      </c>
      <c r="E41" s="11" t="s">
        <v>172</v>
      </c>
      <c r="F41" s="11" t="s">
        <v>26</v>
      </c>
      <c r="G41" s="11" t="s">
        <v>54</v>
      </c>
      <c r="H41" s="11" t="s">
        <v>65</v>
      </c>
      <c r="I41" s="12" t="n">
        <v>20000000</v>
      </c>
      <c r="J41" s="12" t="n">
        <v>14000000</v>
      </c>
      <c r="K41" s="13" t="n">
        <f aca="false">IF(I41=0,0,J41/I41)</f>
        <v>0.7</v>
      </c>
      <c r="L41" s="11" t="s">
        <v>83</v>
      </c>
      <c r="M41" s="11" t="s">
        <v>173</v>
      </c>
    </row>
    <row r="42" customFormat="false" ht="15" hidden="false" customHeight="false" outlineLevel="0" collapsed="false">
      <c r="A42" s="10" t="s">
        <v>174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customFormat="false" ht="15" hidden="false" customHeight="false" outlineLevel="0" collapsed="false">
      <c r="A43" s="11" t="n">
        <v>36</v>
      </c>
      <c r="B43" s="11" t="s">
        <v>175</v>
      </c>
      <c r="C43" s="11" t="s">
        <v>176</v>
      </c>
      <c r="D43" s="11" t="s">
        <v>54</v>
      </c>
      <c r="E43" s="11" t="s">
        <v>177</v>
      </c>
      <c r="F43" s="11" t="s">
        <v>56</v>
      </c>
      <c r="G43" s="11" t="s">
        <v>54</v>
      </c>
      <c r="H43" s="11" t="s">
        <v>178</v>
      </c>
      <c r="I43" s="12" t="n">
        <v>25000000</v>
      </c>
      <c r="J43" s="12" t="n">
        <v>25000000</v>
      </c>
      <c r="K43" s="13" t="n">
        <f aca="false">IF(I43=0,0,J43/I43)</f>
        <v>1</v>
      </c>
      <c r="L43" s="11" t="s">
        <v>61</v>
      </c>
      <c r="M43" s="11"/>
    </row>
    <row r="44" customFormat="false" ht="15" hidden="false" customHeight="false" outlineLevel="0" collapsed="false">
      <c r="A44" s="11" t="n">
        <v>37</v>
      </c>
      <c r="B44" s="11" t="s">
        <v>179</v>
      </c>
      <c r="C44" s="11" t="s">
        <v>180</v>
      </c>
      <c r="D44" s="11" t="s">
        <v>54</v>
      </c>
      <c r="E44" s="11" t="s">
        <v>181</v>
      </c>
      <c r="F44" s="11" t="s">
        <v>56</v>
      </c>
      <c r="G44" s="11" t="s">
        <v>54</v>
      </c>
      <c r="H44" s="11" t="s">
        <v>57</v>
      </c>
      <c r="I44" s="12" t="n">
        <v>40000000</v>
      </c>
      <c r="J44" s="12" t="n">
        <v>0</v>
      </c>
      <c r="K44" s="13" t="n">
        <f aca="false">IF(I44=0,0,J44/I44)</f>
        <v>0</v>
      </c>
      <c r="L44" s="11" t="s">
        <v>115</v>
      </c>
      <c r="M44" s="11" t="s">
        <v>182</v>
      </c>
    </row>
    <row r="46" customFormat="false" ht="15" hidden="false" customHeight="false" outlineLevel="0" collapsed="false">
      <c r="A46" s="14" t="s">
        <v>183</v>
      </c>
      <c r="B46" s="14"/>
      <c r="C46" s="14"/>
      <c r="D46" s="14"/>
      <c r="E46" s="14"/>
      <c r="F46" s="14"/>
      <c r="G46" s="14"/>
      <c r="H46" s="14"/>
      <c r="I46" s="15" t="n">
        <f aca="false">SUMIFS($I$5:$I$44,$C$5:$C$44,"Pendapatan")</f>
        <v>1506000000</v>
      </c>
    </row>
    <row r="47" customFormat="false" ht="15" hidden="false" customHeight="false" outlineLevel="0" collapsed="false">
      <c r="A47" s="14" t="s">
        <v>184</v>
      </c>
      <c r="B47" s="14"/>
      <c r="C47" s="14"/>
      <c r="D47" s="14"/>
      <c r="E47" s="14"/>
      <c r="F47" s="14"/>
      <c r="G47" s="14"/>
      <c r="H47" s="14"/>
      <c r="I47" s="15" t="n">
        <f aca="false">SUMIFS($I$5:$I$44,$C$5:$C$44,"Belanja")</f>
        <v>1491000000</v>
      </c>
    </row>
    <row r="48" customFormat="false" ht="15" hidden="false" customHeight="false" outlineLevel="0" collapsed="false">
      <c r="A48" s="14" t="s">
        <v>185</v>
      </c>
      <c r="B48" s="14"/>
      <c r="C48" s="14"/>
      <c r="D48" s="14"/>
      <c r="E48" s="14"/>
      <c r="F48" s="14"/>
      <c r="G48" s="14"/>
      <c r="H48" s="14"/>
      <c r="I48" s="15" t="n">
        <f aca="false">I46-I47</f>
        <v>15000000</v>
      </c>
    </row>
    <row r="49" customFormat="false" ht="15" hidden="false" customHeight="false" outlineLevel="0" collapsed="false">
      <c r="A49" s="14" t="s">
        <v>186</v>
      </c>
      <c r="B49" s="14"/>
      <c r="C49" s="14"/>
      <c r="D49" s="14"/>
      <c r="E49" s="14"/>
      <c r="F49" s="14"/>
      <c r="G49" s="14"/>
      <c r="H49" s="14"/>
      <c r="I49" s="15" t="n">
        <f aca="false">SUMIFS($I$5:$I$44,$C$5:$C$44,"Pembiayaan Penerimaan")</f>
        <v>25000000</v>
      </c>
    </row>
    <row r="50" customFormat="false" ht="15" hidden="false" customHeight="false" outlineLevel="0" collapsed="false">
      <c r="A50" s="14" t="s">
        <v>187</v>
      </c>
      <c r="B50" s="14"/>
      <c r="C50" s="14"/>
      <c r="D50" s="14"/>
      <c r="E50" s="14"/>
      <c r="F50" s="14"/>
      <c r="G50" s="14"/>
      <c r="H50" s="14"/>
      <c r="I50" s="15" t="n">
        <f aca="false">SUMIFS($I$5:$I$44,$C$5:$C$44,"Pembiayaan Pengeluaran")</f>
        <v>40000000</v>
      </c>
    </row>
    <row r="51" customFormat="false" ht="15" hidden="false" customHeight="false" outlineLevel="0" collapsed="false">
      <c r="A51" s="14" t="s">
        <v>188</v>
      </c>
      <c r="B51" s="14"/>
      <c r="C51" s="14"/>
      <c r="D51" s="14"/>
      <c r="E51" s="14"/>
      <c r="F51" s="14"/>
      <c r="G51" s="14"/>
      <c r="H51" s="14"/>
      <c r="I51" s="15" t="n">
        <f aca="false">I49-I50</f>
        <v>-15000000</v>
      </c>
    </row>
    <row r="52" customFormat="false" ht="15" hidden="false" customHeight="false" outlineLevel="0" collapsed="false">
      <c r="A52" s="14" t="s">
        <v>189</v>
      </c>
      <c r="B52" s="14"/>
      <c r="C52" s="14"/>
      <c r="D52" s="14"/>
      <c r="E52" s="14"/>
      <c r="F52" s="14"/>
      <c r="G52" s="14"/>
      <c r="H52" s="14"/>
      <c r="I52" s="15" t="n">
        <f aca="false">I48+I51</f>
        <v>0</v>
      </c>
      <c r="J52" s="3" t="str">
        <f aca="false">IF(I52=0,"Anggaran seimbang","PERIKSA: tidak seimbang")</f>
        <v>Anggaran seimbang</v>
      </c>
    </row>
  </sheetData>
  <autoFilter ref="A4:M44"/>
  <mergeCells count="11">
    <mergeCell ref="A2:M2"/>
    <mergeCell ref="A5:M5"/>
    <mergeCell ref="A13:M13"/>
    <mergeCell ref="A42:M42"/>
    <mergeCell ref="A46:H46"/>
    <mergeCell ref="A47:H47"/>
    <mergeCell ref="A48:H48"/>
    <mergeCell ref="A49:H49"/>
    <mergeCell ref="A50:H50"/>
    <mergeCell ref="A51:H51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191</v>
      </c>
    </row>
    <row r="5" customFormat="false" ht="15" hidden="false" customHeight="false" outlineLevel="0" collapsed="false">
      <c r="A5" s="16" t="s">
        <v>192</v>
      </c>
      <c r="B5" s="16" t="s">
        <v>47</v>
      </c>
      <c r="C5" s="16" t="s">
        <v>193</v>
      </c>
      <c r="D5" s="16" t="s">
        <v>49</v>
      </c>
      <c r="E5" s="16" t="s">
        <v>194</v>
      </c>
    </row>
    <row r="6" customFormat="false" ht="15" hidden="false" customHeight="false" outlineLevel="0" collapsed="false">
      <c r="A6" s="17" t="s">
        <v>81</v>
      </c>
      <c r="B6" s="18" t="n">
        <f aca="false">SUMIFS('APBDes 2026'!$I$5:$I$44,'APBDes 2026'!$D$5:$D$44,A6)</f>
        <v>423000000</v>
      </c>
      <c r="C6" s="18" t="n">
        <f aca="false">SUMIFS('APBDes 2026'!$J$5:$J$44,'APBDes 2026'!$D$5:$D$44,A6)</f>
        <v>321500000</v>
      </c>
      <c r="D6" s="19" t="n">
        <f aca="false">IF(B6=0,0,C6/B6)</f>
        <v>0.760047281323877</v>
      </c>
      <c r="E6" s="19" t="n">
        <f aca="false">IF($B$11=0,0,B6/$B$11)</f>
        <v>0.283702213279678</v>
      </c>
    </row>
    <row r="7" customFormat="false" ht="15" hidden="false" customHeight="false" outlineLevel="0" collapsed="false">
      <c r="A7" s="17" t="s">
        <v>104</v>
      </c>
      <c r="B7" s="18" t="n">
        <f aca="false">SUMIFS('APBDes 2026'!$I$5:$I$44,'APBDes 2026'!$D$5:$D$44,A7)</f>
        <v>790000000</v>
      </c>
      <c r="C7" s="18" t="n">
        <f aca="false">SUMIFS('APBDes 2026'!$J$5:$J$44,'APBDes 2026'!$D$5:$D$44,A7)</f>
        <v>531300000</v>
      </c>
      <c r="D7" s="19" t="n">
        <f aca="false">IF(B7=0,0,C7/B7)</f>
        <v>0.67253164556962</v>
      </c>
      <c r="E7" s="19" t="n">
        <f aca="false">IF($B$11=0,0,B7/$B$11)</f>
        <v>0.529845741113347</v>
      </c>
    </row>
    <row r="8" customFormat="false" ht="15" hidden="false" customHeight="false" outlineLevel="0" collapsed="false">
      <c r="A8" s="17" t="s">
        <v>145</v>
      </c>
      <c r="B8" s="18" t="n">
        <f aca="false">SUMIFS('APBDes 2026'!$I$5:$I$44,'APBDes 2026'!$D$5:$D$44,A8)</f>
        <v>55000000</v>
      </c>
      <c r="C8" s="18" t="n">
        <f aca="false">SUMIFS('APBDes 2026'!$J$5:$J$44,'APBDes 2026'!$D$5:$D$44,A8)</f>
        <v>45000000</v>
      </c>
      <c r="D8" s="19" t="n">
        <f aca="false">IF(B8=0,0,C8/B8)</f>
        <v>0.818181818181818</v>
      </c>
      <c r="E8" s="19" t="n">
        <f aca="false">IF($B$11=0,0,B8/$B$11)</f>
        <v>0.0368879946344735</v>
      </c>
    </row>
    <row r="9" customFormat="false" ht="15" hidden="false" customHeight="false" outlineLevel="0" collapsed="false">
      <c r="A9" s="17" t="s">
        <v>155</v>
      </c>
      <c r="B9" s="18" t="n">
        <f aca="false">SUMIFS('APBDes 2026'!$I$5:$I$44,'APBDes 2026'!$D$5:$D$44,A9)</f>
        <v>70000000</v>
      </c>
      <c r="C9" s="18" t="n">
        <f aca="false">SUMIFS('APBDes 2026'!$J$5:$J$44,'APBDes 2026'!$D$5:$D$44,A9)</f>
        <v>50000000</v>
      </c>
      <c r="D9" s="19" t="n">
        <f aca="false">IF(B9=0,0,C9/B9)</f>
        <v>0.714285714285714</v>
      </c>
      <c r="E9" s="19" t="n">
        <f aca="false">IF($B$11=0,0,B9/$B$11)</f>
        <v>0.0469483568075117</v>
      </c>
    </row>
    <row r="10" customFormat="false" ht="15" hidden="false" customHeight="false" outlineLevel="0" collapsed="false">
      <c r="A10" s="17" t="s">
        <v>165</v>
      </c>
      <c r="B10" s="18" t="n">
        <f aca="false">SUMIFS('APBDes 2026'!$I$5:$I$44,'APBDes 2026'!$D$5:$D$44,A10)</f>
        <v>153000000</v>
      </c>
      <c r="C10" s="18" t="n">
        <f aca="false">SUMIFS('APBDes 2026'!$J$5:$J$44,'APBDes 2026'!$D$5:$D$44,A10)</f>
        <v>101500000</v>
      </c>
      <c r="D10" s="19" t="n">
        <f aca="false">IF(B10=0,0,C10/B10)</f>
        <v>0.663398692810458</v>
      </c>
      <c r="E10" s="19" t="n">
        <f aca="false">IF($B$11=0,0,B10/$B$11)</f>
        <v>0.10261569416499</v>
      </c>
    </row>
    <row r="11" customFormat="false" ht="15" hidden="false" customHeight="false" outlineLevel="0" collapsed="false">
      <c r="A11" s="20" t="s">
        <v>195</v>
      </c>
      <c r="B11" s="21" t="n">
        <f aca="false">SUM(B6:B10)</f>
        <v>1491000000</v>
      </c>
      <c r="C11" s="21" t="n">
        <f aca="false">SUM(C6:C10)</f>
        <v>1049300000</v>
      </c>
      <c r="D11" s="22" t="n">
        <f aca="false">IF(B11=0,0,C11/B11)</f>
        <v>0.703755868544601</v>
      </c>
      <c r="E11" s="23" t="n">
        <f aca="false">IF($B$11=0,0,B11/$B$11)</f>
        <v>1</v>
      </c>
    </row>
    <row r="13" customFormat="false" ht="15" hidden="false" customHeight="false" outlineLevel="0" collapsed="false">
      <c r="A13" s="3" t="s">
        <v>196</v>
      </c>
    </row>
    <row r="14" customFormat="false" ht="15" hidden="false" customHeight="false" outlineLevel="0" collapsed="false">
      <c r="A14" s="16" t="s">
        <v>192</v>
      </c>
      <c r="B14" s="16" t="s">
        <v>47</v>
      </c>
      <c r="C14" s="16" t="s">
        <v>193</v>
      </c>
      <c r="D14" s="16" t="s">
        <v>49</v>
      </c>
      <c r="E14" s="16" t="s">
        <v>194</v>
      </c>
    </row>
    <row r="15" customFormat="false" ht="15" hidden="false" customHeight="false" outlineLevel="0" collapsed="false">
      <c r="A15" s="17" t="s">
        <v>20</v>
      </c>
      <c r="B15" s="18" t="n">
        <f aca="false">SUMIFS('APBDes 2026'!$I$5:$I$44,'APBDes 2026'!$F$5:$F$44,A15,'APBDes 2026'!$C$5:$C$44,"Belanja")</f>
        <v>210000000</v>
      </c>
      <c r="C15" s="18" t="n">
        <f aca="false">SUMIFS('APBDes 2026'!$J$5:$J$44,'APBDes 2026'!$F$5:$F$44,A15,'APBDes 2026'!$C$5:$C$44,"Belanja")</f>
        <v>210000000</v>
      </c>
      <c r="D15" s="19" t="n">
        <f aca="false">IF(B15=0,0,C15/B15)</f>
        <v>1</v>
      </c>
      <c r="E15" s="19" t="n">
        <f aca="false">IF($B$20=0,0,B15/$B$20)</f>
        <v>0.140845070422535</v>
      </c>
    </row>
    <row r="16" customFormat="false" ht="15" hidden="false" customHeight="false" outlineLevel="0" collapsed="false">
      <c r="A16" s="17" t="s">
        <v>23</v>
      </c>
      <c r="B16" s="18" t="n">
        <f aca="false">SUMIFS('APBDes 2026'!$I$5:$I$44,'APBDes 2026'!$F$5:$F$44,A16,'APBDes 2026'!$C$5:$C$44,"Belanja")</f>
        <v>166000000</v>
      </c>
      <c r="C16" s="18" t="n">
        <f aca="false">SUMIFS('APBDes 2026'!$J$5:$J$44,'APBDes 2026'!$F$5:$F$44,A16,'APBDes 2026'!$C$5:$C$44,"Belanja")</f>
        <v>48000000</v>
      </c>
      <c r="D16" s="19" t="n">
        <f aca="false">IF(B16=0,0,C16/B16)</f>
        <v>0.289156626506024</v>
      </c>
      <c r="E16" s="19" t="n">
        <f aca="false">IF($B$20=0,0,B16/$B$20)</f>
        <v>0.111334674714956</v>
      </c>
    </row>
    <row r="17" customFormat="false" ht="15" hidden="false" customHeight="false" outlineLevel="0" collapsed="false">
      <c r="A17" s="17" t="s">
        <v>26</v>
      </c>
      <c r="B17" s="18" t="n">
        <f aca="false">SUMIFS('APBDes 2026'!$I$5:$I$44,'APBDes 2026'!$F$5:$F$44,A17,'APBDes 2026'!$C$5:$C$44,"Belanja")</f>
        <v>144000000</v>
      </c>
      <c r="C17" s="18" t="n">
        <f aca="false">SUMIFS('APBDes 2026'!$J$5:$J$44,'APBDes 2026'!$F$5:$F$44,A17,'APBDes 2026'!$C$5:$C$44,"Belanja")</f>
        <v>100800000</v>
      </c>
      <c r="D17" s="19" t="n">
        <f aca="false">IF(B17=0,0,C17/B17)</f>
        <v>0.7</v>
      </c>
      <c r="E17" s="19" t="n">
        <f aca="false">IF($B$20=0,0,B17/$B$20)</f>
        <v>0.096579476861167</v>
      </c>
    </row>
    <row r="18" customFormat="false" ht="15" hidden="false" customHeight="false" outlineLevel="0" collapsed="false">
      <c r="A18" s="17" t="s">
        <v>29</v>
      </c>
      <c r="B18" s="18" t="n">
        <f aca="false">SUMIFS('APBDes 2026'!$I$5:$I$44,'APBDes 2026'!$F$5:$F$44,A18,'APBDes 2026'!$C$5:$C$44,"Belanja")</f>
        <v>232000000</v>
      </c>
      <c r="C18" s="18" t="n">
        <f aca="false">SUMIFS('APBDes 2026'!$J$5:$J$44,'APBDes 2026'!$F$5:$F$44,A18,'APBDes 2026'!$C$5:$C$44,"Belanja")</f>
        <v>147000000</v>
      </c>
      <c r="D18" s="19" t="n">
        <f aca="false">IF(B18=0,0,C18/B18)</f>
        <v>0.633620689655172</v>
      </c>
      <c r="E18" s="19" t="n">
        <f aca="false">IF($B$20=0,0,B18/$B$20)</f>
        <v>0.155600268276325</v>
      </c>
    </row>
    <row r="19" customFormat="false" ht="15" hidden="false" customHeight="false" outlineLevel="0" collapsed="false">
      <c r="A19" s="17" t="s">
        <v>56</v>
      </c>
      <c r="B19" s="18" t="n">
        <f aca="false">SUMIFS('APBDes 2026'!$I$5:$I$44,'APBDes 2026'!$F$5:$F$44,A19,'APBDes 2026'!$C$5:$C$44,"Belanja")</f>
        <v>739000000</v>
      </c>
      <c r="C19" s="18" t="n">
        <f aca="false">SUMIFS('APBDes 2026'!$J$5:$J$44,'APBDes 2026'!$F$5:$F$44,A19,'APBDes 2026'!$C$5:$C$44,"Belanja")</f>
        <v>543500000</v>
      </c>
      <c r="D19" s="19" t="n">
        <f aca="false">IF(B19=0,0,C19/B19)</f>
        <v>0.735453315290934</v>
      </c>
      <c r="E19" s="19" t="n">
        <f aca="false">IF($B$20=0,0,B19/$B$20)</f>
        <v>0.495640509725017</v>
      </c>
    </row>
    <row r="20" customFormat="false" ht="15" hidden="false" customHeight="false" outlineLevel="0" collapsed="false">
      <c r="A20" s="20" t="s">
        <v>195</v>
      </c>
      <c r="B20" s="21" t="n">
        <f aca="false">SUM(B15:B19)</f>
        <v>1491000000</v>
      </c>
      <c r="C20" s="21" t="n">
        <f aca="false">SUM(C15:C19)</f>
        <v>1049300000</v>
      </c>
      <c r="D20" s="22" t="n">
        <f aca="false">IF(B20=0,0,C20/B20)</f>
        <v>0.703755868544601</v>
      </c>
      <c r="E20" s="23" t="n">
        <f aca="false">IF($B$20=0,0,B20/$B$20)</f>
        <v>1</v>
      </c>
    </row>
    <row r="22" customFormat="false" ht="15" hidden="false" customHeight="false" outlineLevel="0" collapsed="false">
      <c r="A22" s="3" t="s">
        <v>197</v>
      </c>
    </row>
    <row r="23" customFormat="false" ht="15" hidden="false" customHeight="false" outlineLevel="0" collapsed="false">
      <c r="A23" s="16" t="s">
        <v>192</v>
      </c>
      <c r="B23" s="16" t="s">
        <v>47</v>
      </c>
      <c r="C23" s="16" t="s">
        <v>193</v>
      </c>
      <c r="D23" s="16" t="s">
        <v>49</v>
      </c>
      <c r="E23" s="16" t="s">
        <v>194</v>
      </c>
    </row>
    <row r="24" customFormat="false" ht="15" hidden="false" customHeight="false" outlineLevel="0" collapsed="false">
      <c r="A24" s="17" t="s">
        <v>57</v>
      </c>
      <c r="B24" s="18" t="n">
        <f aca="false">SUMIFS('APBDes 2026'!$I$5:$I$44,'APBDes 2026'!$H$5:$H$44,A24,'APBDes 2026'!$C$5:$C$44,"Pendapatan")</f>
        <v>65000000</v>
      </c>
      <c r="C24" s="18" t="n">
        <f aca="false">SUMIFS('APBDes 2026'!$J$5:$J$44,'APBDes 2026'!$H$5:$H$44,A24,'APBDes 2026'!$C$5:$C$44,"Pendapatan")</f>
        <v>49000000</v>
      </c>
      <c r="D24" s="19" t="n">
        <f aca="false">IF(B24=0,0,C24/B24)</f>
        <v>0.753846153846154</v>
      </c>
      <c r="E24" s="19" t="n">
        <f aca="false">IF($B$29=0,0,B24/$B$29)</f>
        <v>0.0431606905710491</v>
      </c>
    </row>
    <row r="25" customFormat="false" ht="15" hidden="false" customHeight="false" outlineLevel="0" collapsed="false">
      <c r="A25" s="17" t="s">
        <v>65</v>
      </c>
      <c r="B25" s="18" t="n">
        <f aca="false">SUMIFS('APBDes 2026'!$I$5:$I$44,'APBDes 2026'!$H$5:$H$44,A25,'APBDes 2026'!$C$5:$C$44,"Pendapatan")</f>
        <v>939000000</v>
      </c>
      <c r="C25" s="18" t="n">
        <f aca="false">SUMIFS('APBDes 2026'!$J$5:$J$44,'APBDes 2026'!$H$5:$H$44,A25,'APBDes 2026'!$C$5:$C$44,"Pendapatan")</f>
        <v>657300000</v>
      </c>
      <c r="D25" s="19" t="n">
        <f aca="false">IF(B25=0,0,C25/B25)</f>
        <v>0.7</v>
      </c>
      <c r="E25" s="19" t="n">
        <f aca="false">IF($B$29=0,0,B25/$B$29)</f>
        <v>0.623505976095618</v>
      </c>
    </row>
    <row r="26" customFormat="false" ht="15" hidden="false" customHeight="false" outlineLevel="0" collapsed="false">
      <c r="A26" s="17" t="s">
        <v>72</v>
      </c>
      <c r="B26" s="18" t="n">
        <f aca="false">SUMIFS('APBDes 2026'!$I$5:$I$44,'APBDes 2026'!$H$5:$H$44,A26,'APBDes 2026'!$C$5:$C$44,"Pendapatan")</f>
        <v>422000000</v>
      </c>
      <c r="C26" s="18" t="n">
        <f aca="false">SUMIFS('APBDes 2026'!$J$5:$J$44,'APBDes 2026'!$H$5:$H$44,A26,'APBDes 2026'!$C$5:$C$44,"Pendapatan")</f>
        <v>316500000</v>
      </c>
      <c r="D26" s="19" t="n">
        <f aca="false">IF(B26=0,0,C26/B26)</f>
        <v>0.75</v>
      </c>
      <c r="E26" s="19" t="n">
        <f aca="false">IF($B$29=0,0,B26/$B$29)</f>
        <v>0.280212483399734</v>
      </c>
    </row>
    <row r="27" customFormat="false" ht="15" hidden="false" customHeight="false" outlineLevel="0" collapsed="false">
      <c r="A27" s="17" t="s">
        <v>69</v>
      </c>
      <c r="B27" s="18" t="n">
        <f aca="false">SUMIFS('APBDes 2026'!$I$5:$I$44,'APBDes 2026'!$H$5:$H$44,A27,'APBDes 2026'!$C$5:$C$44,"Pendapatan")</f>
        <v>30000000</v>
      </c>
      <c r="C27" s="18" t="n">
        <f aca="false">SUMIFS('APBDes 2026'!$J$5:$J$44,'APBDes 2026'!$H$5:$H$44,A27,'APBDes 2026'!$C$5:$C$44,"Pendapatan")</f>
        <v>20000000</v>
      </c>
      <c r="D27" s="19" t="n">
        <f aca="false">IF(B27=0,0,C27/B27)</f>
        <v>0.666666666666667</v>
      </c>
      <c r="E27" s="19" t="n">
        <f aca="false">IF($B$29=0,0,B27/$B$29)</f>
        <v>0.0199203187250996</v>
      </c>
    </row>
    <row r="28" customFormat="false" ht="15" hidden="false" customHeight="false" outlineLevel="0" collapsed="false">
      <c r="A28" s="17" t="s">
        <v>76</v>
      </c>
      <c r="B28" s="18" t="n">
        <f aca="false">SUMIFS('APBDes 2026'!$I$5:$I$44,'APBDes 2026'!$H$5:$H$44,A28,'APBDes 2026'!$C$5:$C$44,"Pendapatan")</f>
        <v>50000000</v>
      </c>
      <c r="C28" s="18" t="n">
        <f aca="false">SUMIFS('APBDes 2026'!$J$5:$J$44,'APBDes 2026'!$H$5:$H$44,A28,'APBDes 2026'!$C$5:$C$44,"Pendapatan")</f>
        <v>35000000</v>
      </c>
      <c r="D28" s="19" t="n">
        <f aca="false">IF(B28=0,0,C28/B28)</f>
        <v>0.7</v>
      </c>
      <c r="E28" s="19" t="n">
        <f aca="false">IF($B$29=0,0,B28/$B$29)</f>
        <v>0.0332005312084993</v>
      </c>
    </row>
    <row r="29" customFormat="false" ht="15" hidden="false" customHeight="false" outlineLevel="0" collapsed="false">
      <c r="A29" s="20" t="s">
        <v>195</v>
      </c>
      <c r="B29" s="21" t="n">
        <f aca="false">SUM(B24:B28)</f>
        <v>1506000000</v>
      </c>
      <c r="C29" s="21" t="n">
        <f aca="false">SUM(C24:C28)</f>
        <v>1077800000</v>
      </c>
      <c r="D29" s="22" t="n">
        <f aca="false">IF(B29=0,0,C29/B29)</f>
        <v>0.715670650730412</v>
      </c>
      <c r="E29" s="23" t="n">
        <f aca="false">IF($B$29=0,0,B29/$B$29)</f>
        <v>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9" t="s">
        <v>41</v>
      </c>
      <c r="B4" s="9" t="s">
        <v>199</v>
      </c>
      <c r="C4" s="9" t="s">
        <v>200</v>
      </c>
      <c r="D4" s="9" t="s">
        <v>201</v>
      </c>
      <c r="E4" s="9" t="s">
        <v>202</v>
      </c>
      <c r="F4" s="9" t="s">
        <v>203</v>
      </c>
    </row>
    <row r="5" customFormat="false" ht="42" hidden="false" customHeight="true" outlineLevel="0" collapsed="false">
      <c r="A5" s="11" t="n">
        <v>1</v>
      </c>
      <c r="B5" s="11" t="s">
        <v>204</v>
      </c>
      <c r="C5" s="24" t="n">
        <f aca="false">SUMIFS('APBDes 2026'!$I$5:$I$44,'APBDes 2026'!$B$5:$B$44,"4.2.1")</f>
        <v>939000000</v>
      </c>
      <c r="D5" s="11" t="s">
        <v>205</v>
      </c>
      <c r="E5" s="11" t="s">
        <v>64</v>
      </c>
      <c r="F5" s="11" t="s">
        <v>206</v>
      </c>
    </row>
    <row r="6" customFormat="false" ht="42" hidden="false" customHeight="true" outlineLevel="0" collapsed="false">
      <c r="A6" s="11" t="n">
        <v>2</v>
      </c>
      <c r="B6" s="11" t="s">
        <v>207</v>
      </c>
      <c r="C6" s="24" t="n">
        <f aca="false">SUMIFS('APBDes 2026'!$I$5:$I$44,'APBDes 2026'!$B$5:$B$44,"2.1.01")</f>
        <v>185000000</v>
      </c>
      <c r="D6" s="11" t="s">
        <v>208</v>
      </c>
      <c r="E6" s="11" t="s">
        <v>103</v>
      </c>
      <c r="F6" s="11" t="s">
        <v>209</v>
      </c>
    </row>
    <row r="7" customFormat="false" ht="42" hidden="false" customHeight="true" outlineLevel="0" collapsed="false">
      <c r="A7" s="11" t="n">
        <v>3</v>
      </c>
      <c r="B7" s="11" t="s">
        <v>210</v>
      </c>
      <c r="C7" s="13" t="n">
        <f aca="false">SUMIFS('APBDes 2026'!$I$5:$I$44,'APBDes 2026'!$D$5:$D$44,"2. Pelaksanaan Pembangunan Desa")/SUMIFS('APBDes 2026'!$I$5:$I$44,'APBDes 2026'!$C$5:$C$44,"Belanja")</f>
        <v>0.529845741113347</v>
      </c>
      <c r="D7" s="11" t="s">
        <v>211</v>
      </c>
      <c r="E7" s="11" t="s">
        <v>212</v>
      </c>
      <c r="F7" s="11" t="s">
        <v>213</v>
      </c>
    </row>
    <row r="8" customFormat="false" ht="42" hidden="false" customHeight="true" outlineLevel="0" collapsed="false">
      <c r="A8" s="11" t="n">
        <v>4</v>
      </c>
      <c r="B8" s="11" t="s">
        <v>214</v>
      </c>
      <c r="C8" s="24" t="n">
        <f aca="false">SUMIFS('APBDes 2026'!$I$5:$I$44,'APBDes 2026'!$B$5:$B$44,"2.2.02")</f>
        <v>48000000</v>
      </c>
      <c r="D8" s="11" t="s">
        <v>215</v>
      </c>
      <c r="E8" s="11" t="s">
        <v>135</v>
      </c>
      <c r="F8" s="11" t="s">
        <v>216</v>
      </c>
    </row>
    <row r="9" customFormat="false" ht="42" hidden="false" customHeight="true" outlineLevel="0" collapsed="false">
      <c r="A9" s="11" t="n">
        <v>5</v>
      </c>
      <c r="B9" s="11" t="s">
        <v>217</v>
      </c>
      <c r="C9" s="24" t="n">
        <f aca="false">SUMIFS('APBDes 2026'!$I$5:$I$44,'APBDes 2026'!$B$5:$B$44,"2.1.05")</f>
        <v>112000000</v>
      </c>
      <c r="D9" s="11" t="s">
        <v>218</v>
      </c>
      <c r="E9" s="11" t="s">
        <v>121</v>
      </c>
      <c r="F9" s="11" t="s">
        <v>219</v>
      </c>
    </row>
    <row r="10" customFormat="false" ht="42" hidden="false" customHeight="true" outlineLevel="0" collapsed="false">
      <c r="A10" s="11" t="n">
        <v>6</v>
      </c>
      <c r="B10" s="11" t="s">
        <v>220</v>
      </c>
      <c r="C10" s="24" t="n">
        <f aca="false">SUMIFS('APBDes 2026'!$I$5:$I$44,'APBDes 2026'!$F$5:$F$44,"Ngemplak",'APBDes 2026'!$C$5:$C$44,"Belanja")</f>
        <v>144000000</v>
      </c>
      <c r="D10" s="11" t="s">
        <v>221</v>
      </c>
      <c r="E10" s="11" t="s">
        <v>222</v>
      </c>
      <c r="F10" s="11" t="s">
        <v>223</v>
      </c>
    </row>
    <row r="11" customFormat="false" ht="42" hidden="false" customHeight="true" outlineLevel="0" collapsed="false">
      <c r="A11" s="11" t="n">
        <v>7</v>
      </c>
      <c r="B11" s="11" t="s">
        <v>224</v>
      </c>
      <c r="C11" s="24" t="n">
        <f aca="false">SUMIFS('APBDes 2026'!$I$5:$I$44,'APBDes 2026'!$B$5:$B$44,"5.1.01")</f>
        <v>108000000</v>
      </c>
      <c r="D11" s="11" t="s">
        <v>225</v>
      </c>
      <c r="E11" s="11" t="s">
        <v>164</v>
      </c>
      <c r="F11" s="11" t="s">
        <v>226</v>
      </c>
    </row>
    <row r="12" customFormat="false" ht="42" hidden="false" customHeight="true" outlineLevel="0" collapsed="false">
      <c r="A12" s="11" t="n">
        <v>8</v>
      </c>
      <c r="B12" s="11" t="s">
        <v>227</v>
      </c>
      <c r="C12" s="24" t="s">
        <v>54</v>
      </c>
      <c r="D12" s="11" t="s">
        <v>228</v>
      </c>
      <c r="E12" s="11" t="s">
        <v>54</v>
      </c>
      <c r="F12" s="11" t="s">
        <v>229</v>
      </c>
    </row>
    <row r="13" customFormat="false" ht="42" hidden="false" customHeight="true" outlineLevel="0" collapsed="false">
      <c r="A13" s="11" t="n">
        <v>9</v>
      </c>
      <c r="B13" s="11" t="s">
        <v>230</v>
      </c>
      <c r="C13" s="24" t="n">
        <f aca="false">SUMIFS('APBDes 2026'!$I$5:$I$44,'APBDes 2026'!$B$5:$B$44,"6.2.2")</f>
        <v>40000000</v>
      </c>
      <c r="D13" s="11" t="s">
        <v>231</v>
      </c>
      <c r="E13" s="11" t="s">
        <v>179</v>
      </c>
      <c r="F13" s="11" t="s">
        <v>232</v>
      </c>
    </row>
    <row r="14" customFormat="false" ht="42" hidden="false" customHeight="true" outlineLevel="0" collapsed="false">
      <c r="A14" s="11" t="n">
        <v>10</v>
      </c>
      <c r="B14" s="11" t="s">
        <v>233</v>
      </c>
      <c r="C14" s="25" t="n">
        <f aca="false">COUNTIFS('APBDes 2026'!$L$5:$L$44,"Belum dimulai")</f>
        <v>4</v>
      </c>
      <c r="D14" s="11" t="s">
        <v>234</v>
      </c>
      <c r="E14" s="11" t="s">
        <v>235</v>
      </c>
      <c r="F14" s="11" t="s">
        <v>236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7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9" t="s">
        <v>41</v>
      </c>
      <c r="B4" s="9" t="s">
        <v>238</v>
      </c>
      <c r="C4" s="9" t="s">
        <v>17</v>
      </c>
      <c r="D4" s="9" t="s">
        <v>18</v>
      </c>
      <c r="E4" s="9" t="s">
        <v>239</v>
      </c>
      <c r="F4" s="9" t="s">
        <v>240</v>
      </c>
    </row>
    <row r="5" customFormat="false" ht="30" hidden="false" customHeight="true" outlineLevel="0" collapsed="false">
      <c r="A5" s="11" t="n">
        <v>1</v>
      </c>
      <c r="B5" s="26" t="s">
        <v>241</v>
      </c>
      <c r="C5" s="26" t="s">
        <v>29</v>
      </c>
      <c r="D5" s="26" t="s">
        <v>123</v>
      </c>
      <c r="E5" s="26" t="s">
        <v>242</v>
      </c>
      <c r="F5" s="11" t="s">
        <v>243</v>
      </c>
    </row>
    <row r="6" customFormat="false" ht="30" hidden="false" customHeight="true" outlineLevel="0" collapsed="false">
      <c r="A6" s="11" t="n">
        <v>2</v>
      </c>
      <c r="B6" s="26" t="s">
        <v>244</v>
      </c>
      <c r="C6" s="26" t="s">
        <v>29</v>
      </c>
      <c r="D6" s="26" t="s">
        <v>245</v>
      </c>
      <c r="E6" s="26" t="s">
        <v>246</v>
      </c>
      <c r="F6" s="11" t="s">
        <v>243</v>
      </c>
    </row>
    <row r="7" customFormat="false" ht="30" hidden="false" customHeight="true" outlineLevel="0" collapsed="false">
      <c r="A7" s="11" t="n">
        <v>3</v>
      </c>
      <c r="B7" s="26" t="s">
        <v>247</v>
      </c>
      <c r="C7" s="26" t="s">
        <v>26</v>
      </c>
      <c r="D7" s="26" t="s">
        <v>131</v>
      </c>
      <c r="E7" s="26" t="s">
        <v>248</v>
      </c>
      <c r="F7" s="11" t="s">
        <v>249</v>
      </c>
    </row>
    <row r="8" customFormat="false" ht="30" hidden="false" customHeight="true" outlineLevel="0" collapsed="false">
      <c r="A8" s="11" t="n">
        <v>4</v>
      </c>
      <c r="B8" s="26" t="s">
        <v>250</v>
      </c>
      <c r="C8" s="26" t="s">
        <v>26</v>
      </c>
      <c r="D8" s="26" t="s">
        <v>251</v>
      </c>
      <c r="E8" s="26" t="s">
        <v>252</v>
      </c>
      <c r="F8" s="11" t="s">
        <v>249</v>
      </c>
    </row>
    <row r="9" customFormat="false" ht="30" hidden="false" customHeight="true" outlineLevel="0" collapsed="false">
      <c r="A9" s="11" t="n">
        <v>5</v>
      </c>
      <c r="B9" s="26" t="s">
        <v>253</v>
      </c>
      <c r="C9" s="26" t="s">
        <v>23</v>
      </c>
      <c r="D9" s="26" t="s">
        <v>114</v>
      </c>
      <c r="E9" s="26" t="s">
        <v>254</v>
      </c>
      <c r="F9" s="11" t="s">
        <v>255</v>
      </c>
    </row>
    <row r="10" customFormat="false" ht="30" hidden="false" customHeight="true" outlineLevel="0" collapsed="false">
      <c r="A10" s="11" t="n">
        <v>6</v>
      </c>
      <c r="B10" s="26" t="s">
        <v>256</v>
      </c>
      <c r="C10" s="26" t="s">
        <v>23</v>
      </c>
      <c r="D10" s="26" t="s">
        <v>110</v>
      </c>
      <c r="E10" s="26" t="s">
        <v>257</v>
      </c>
      <c r="F10" s="11" t="s">
        <v>255</v>
      </c>
    </row>
    <row r="11" customFormat="false" ht="30" hidden="false" customHeight="true" outlineLevel="0" collapsed="false">
      <c r="A11" s="11" t="n">
        <v>7</v>
      </c>
      <c r="B11" s="26" t="s">
        <v>258</v>
      </c>
      <c r="C11" s="26" t="s">
        <v>20</v>
      </c>
      <c r="D11" s="26" t="s">
        <v>259</v>
      </c>
      <c r="E11" s="26" t="s">
        <v>260</v>
      </c>
      <c r="F11" s="11" t="s">
        <v>255</v>
      </c>
    </row>
    <row r="12" customFormat="false" ht="30" hidden="false" customHeight="true" outlineLevel="0" collapsed="false">
      <c r="A12" s="11" t="n">
        <v>8</v>
      </c>
      <c r="B12" s="26" t="s">
        <v>261</v>
      </c>
      <c r="C12" s="26" t="s">
        <v>20</v>
      </c>
      <c r="D12" s="26" t="s">
        <v>95</v>
      </c>
      <c r="E12" s="26" t="s">
        <v>262</v>
      </c>
      <c r="F12" s="11" t="s">
        <v>263</v>
      </c>
    </row>
    <row r="13" customFormat="false" ht="30" hidden="false" customHeight="true" outlineLevel="0" collapsed="false">
      <c r="A13" s="11" t="n">
        <v>9</v>
      </c>
      <c r="B13" s="26" t="s">
        <v>264</v>
      </c>
      <c r="C13" s="26" t="s">
        <v>29</v>
      </c>
      <c r="D13" s="26" t="s">
        <v>265</v>
      </c>
      <c r="E13" s="26" t="s">
        <v>266</v>
      </c>
      <c r="F13" s="11" t="s">
        <v>263</v>
      </c>
    </row>
    <row r="14" customFormat="false" ht="30" hidden="false" customHeight="true" outlineLevel="0" collapsed="false">
      <c r="A14" s="11" t="n">
        <v>10</v>
      </c>
      <c r="B14" s="26" t="s">
        <v>267</v>
      </c>
      <c r="C14" s="26" t="s">
        <v>26</v>
      </c>
      <c r="D14" s="26" t="s">
        <v>119</v>
      </c>
      <c r="E14" s="26" t="s">
        <v>268</v>
      </c>
      <c r="F14" s="11" t="s">
        <v>255</v>
      </c>
    </row>
    <row r="15" customFormat="false" ht="30" hidden="false" customHeight="true" outlineLevel="0" collapsed="false">
      <c r="A15" s="11" t="n">
        <v>11</v>
      </c>
      <c r="B15" s="26" t="s">
        <v>269</v>
      </c>
      <c r="C15" s="26" t="s">
        <v>23</v>
      </c>
      <c r="D15" s="26" t="s">
        <v>270</v>
      </c>
      <c r="E15" s="26" t="s">
        <v>271</v>
      </c>
      <c r="F15" s="11" t="s">
        <v>272</v>
      </c>
    </row>
    <row r="16" customFormat="false" ht="30" hidden="false" customHeight="true" outlineLevel="0" collapsed="false">
      <c r="A16" s="11" t="n">
        <v>12</v>
      </c>
      <c r="B16" s="26" t="s">
        <v>273</v>
      </c>
      <c r="C16" s="26" t="s">
        <v>29</v>
      </c>
      <c r="D16" s="26" t="s">
        <v>123</v>
      </c>
      <c r="E16" s="26" t="s">
        <v>274</v>
      </c>
      <c r="F16" s="11" t="s">
        <v>272</v>
      </c>
    </row>
    <row r="17" customFormat="false" ht="30" hidden="false" customHeight="true" outlineLevel="0" collapsed="false">
      <c r="A17" s="11" t="n">
        <v>13</v>
      </c>
      <c r="B17" s="26" t="s">
        <v>275</v>
      </c>
      <c r="C17" s="26" t="s">
        <v>20</v>
      </c>
      <c r="D17" s="26" t="s">
        <v>106</v>
      </c>
      <c r="E17" s="26" t="s">
        <v>276</v>
      </c>
      <c r="F17" s="11" t="s">
        <v>255</v>
      </c>
    </row>
    <row r="18" customFormat="false" ht="30" hidden="false" customHeight="true" outlineLevel="0" collapsed="false">
      <c r="A18" s="11" t="n">
        <v>14</v>
      </c>
      <c r="B18" s="26" t="s">
        <v>277</v>
      </c>
      <c r="C18" s="26" t="s">
        <v>26</v>
      </c>
      <c r="D18" s="26" t="s">
        <v>131</v>
      </c>
      <c r="E18" s="26" t="s">
        <v>278</v>
      </c>
      <c r="F18" s="11" t="s">
        <v>279</v>
      </c>
    </row>
    <row r="19" customFormat="false" ht="30" hidden="false" customHeight="true" outlineLevel="0" collapsed="false">
      <c r="A19" s="11" t="n">
        <v>15</v>
      </c>
      <c r="B19" s="26" t="s">
        <v>280</v>
      </c>
      <c r="C19" s="26" t="s">
        <v>23</v>
      </c>
      <c r="D19" s="26" t="s">
        <v>110</v>
      </c>
      <c r="E19" s="26" t="s">
        <v>281</v>
      </c>
      <c r="F19" s="11" t="s">
        <v>282</v>
      </c>
    </row>
    <row r="20" customFormat="false" ht="30" hidden="false" customHeight="true" outlineLevel="0" collapsed="false">
      <c r="A20" s="11" t="n">
        <v>16</v>
      </c>
      <c r="B20" s="26" t="s">
        <v>283</v>
      </c>
      <c r="C20" s="26" t="s">
        <v>20</v>
      </c>
      <c r="D20" s="26" t="s">
        <v>95</v>
      </c>
      <c r="E20" s="26" t="s">
        <v>284</v>
      </c>
      <c r="F20" s="11" t="s">
        <v>285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2026-10-12T02:11:48Z</dcterms:created>
  <dc:creator>openpyxl</dc:creator>
  <dc:description/>
  <dc:language>en-US</dc:language>
  <cp:lastModifiedBy/>
  <dcterms:modified xsi:type="dcterms:W3CDTF">2026-10-12T02:11:48Z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